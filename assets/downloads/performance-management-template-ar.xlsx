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yaraessam/Desktop/KarmSolar Workspace/Performance Management System/2026/CSR/"/>
    </mc:Choice>
  </mc:AlternateContent>
  <xr:revisionPtr revIDLastSave="0" documentId="8_{F998E4EF-D42D-864B-A8FC-5CB8BA9C35C9}" xr6:coauthVersionLast="47" xr6:coauthVersionMax="47" xr10:uidLastSave="{00000000-0000-0000-0000-000000000000}"/>
  <bookViews>
    <workbookView xWindow="0" yWindow="720" windowWidth="29400" windowHeight="18400" tabRatio="500" xr2:uid="{00000000-000D-0000-FFFF-FFFF00000000}"/>
  </bookViews>
  <sheets>
    <sheet name="صفحة الغلاف" sheetId="1" r:id="rId1"/>
    <sheet name="تحديد الأهداف" sheetId="2" r:id="rId2"/>
    <sheet name="مراجعة الأداء" sheetId="3" r:id="rId3"/>
    <sheet name="درجات خطة التعاقب" sheetId="4" r:id="rId4"/>
    <sheet name="تخطيط التعاقب الوظيفي" sheetId="5" r:id="rId5"/>
    <sheet name="خطة التطوير" sheetId="6" r:id="rId6"/>
    <sheet name="تعريف المهارات الرئيسية" sheetId="7" r:id="rId7"/>
    <sheet name="المهارات الوظيفية" sheetId="8" r:id="rId8"/>
    <sheet name="مكتبة المهارات" sheetId="9" r:id="rId9"/>
  </sheets>
  <definedNames>
    <definedName name="Competencies">#REF!</definedName>
    <definedName name="Department">'صفحة الغلاف'!$AO$6:$AO$11</definedName>
    <definedName name="_xlnm.Print_Area" localSheetId="4">'تخطيط التعاقب الوظيفي'!$A$4:$AA$27</definedName>
    <definedName name="_xlnm.Print_Area" localSheetId="0">'صفحة الغلاف'!$A$1:$N$33</definedName>
    <definedName name="_xlnm.Print_Area" localSheetId="2">'مراجعة الأداء'!$A$1:$N$42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13" i="2" l="1"/>
  <c r="F42" i="2" l="1"/>
  <c r="M33" i="3" l="1"/>
  <c r="M35" i="3" s="1"/>
  <c r="L32" i="3"/>
  <c r="L31" i="3"/>
  <c r="L30" i="3"/>
  <c r="L28" i="3"/>
  <c r="I28" i="3"/>
  <c r="D28" i="3"/>
  <c r="L27" i="3"/>
  <c r="I27" i="3"/>
  <c r="H27" i="3"/>
  <c r="D27" i="3"/>
  <c r="B27" i="3"/>
  <c r="L26" i="3"/>
  <c r="I26" i="3"/>
  <c r="D26" i="3"/>
  <c r="L25" i="3"/>
  <c r="I25" i="3"/>
  <c r="H25" i="3"/>
  <c r="D25" i="3"/>
  <c r="B25" i="3"/>
  <c r="L24" i="3"/>
  <c r="I24" i="3"/>
  <c r="D24" i="3"/>
  <c r="L23" i="3"/>
  <c r="I23" i="3"/>
  <c r="H23" i="3"/>
  <c r="D23" i="3"/>
  <c r="B23" i="3"/>
  <c r="M17" i="3"/>
  <c r="J14" i="3"/>
  <c r="M14" i="3" s="1"/>
  <c r="E14" i="3"/>
  <c r="B14" i="3"/>
  <c r="J12" i="3"/>
  <c r="M12" i="3" s="1"/>
  <c r="J11" i="3"/>
  <c r="M11" i="3" s="1"/>
  <c r="E11" i="3"/>
  <c r="B11" i="3"/>
  <c r="J10" i="3"/>
  <c r="M10" i="3" s="1"/>
  <c r="E10" i="3"/>
  <c r="B10" i="3"/>
  <c r="J9" i="3"/>
  <c r="M9" i="3" s="1"/>
  <c r="E9" i="3"/>
  <c r="B9" i="3"/>
  <c r="J8" i="3"/>
  <c r="M8" i="3" s="1"/>
  <c r="E8" i="3"/>
  <c r="B8" i="3"/>
  <c r="U7" i="3"/>
  <c r="J7" i="3"/>
  <c r="M7" i="3" s="1"/>
  <c r="E7" i="3"/>
  <c r="B7" i="3"/>
  <c r="A42" i="2"/>
  <c r="F40" i="2"/>
  <c r="A40" i="2"/>
  <c r="B29" i="2"/>
  <c r="C29" i="2" s="1"/>
  <c r="B32" i="3" s="1"/>
  <c r="B28" i="2"/>
  <c r="C28" i="2" s="1"/>
  <c r="B31" i="3" s="1"/>
  <c r="B27" i="2"/>
  <c r="I27" i="2" s="1"/>
  <c r="H30" i="3" s="1"/>
  <c r="M24" i="2"/>
  <c r="B24" i="2"/>
  <c r="B23" i="2"/>
  <c r="C23" i="2" s="1"/>
  <c r="M22" i="2"/>
  <c r="B22" i="2"/>
  <c r="B21" i="2"/>
  <c r="M20" i="2"/>
  <c r="B20" i="2"/>
  <c r="L12" i="2" s="1"/>
  <c r="I28" i="2" l="1"/>
  <c r="H31" i="3" s="1"/>
  <c r="C11" i="2" a="1"/>
  <c r="C11" i="2" s="1"/>
  <c r="B12" i="3" s="1"/>
  <c r="J13" i="3"/>
  <c r="M13" i="3" s="1"/>
  <c r="M15" i="3" s="1"/>
  <c r="M13" i="2"/>
  <c r="C27" i="2"/>
  <c r="B30" i="3" s="1"/>
  <c r="I29" i="2"/>
  <c r="H32" i="3" s="1"/>
  <c r="C12" i="2" a="1"/>
  <c r="C12" i="2" s="1"/>
  <c r="B13" i="3" s="1"/>
  <c r="J11" i="2" a="1"/>
  <c r="J11" i="2" s="1"/>
  <c r="E12" i="3" s="1"/>
  <c r="J12" i="2" a="1"/>
  <c r="J12" i="2" s="1"/>
  <c r="E13" i="3" s="1"/>
  <c r="M16" i="3" l="1"/>
  <c r="Q1" i="4" s="1" a="1"/>
  <c r="M34" i="3"/>
  <c r="R1" i="4" l="1"/>
  <c r="M36" i="3" s="1"/>
  <c r="D46" i="5" s="1"/>
  <c r="G46" i="5" s="1"/>
  <c r="J46" i="5" s="1"/>
  <c r="D52" i="5" s="1"/>
  <c r="G52" i="5" s="1"/>
  <c r="J52" i="5" s="1"/>
  <c r="D59" i="5" s="1"/>
  <c r="G59" i="5" s="1"/>
  <c r="J59" i="5" s="1"/>
  <c r="S3" i="4"/>
  <c r="R3" i="4"/>
  <c r="Q1" i="4"/>
  <c r="Q3" i="4"/>
  <c r="S2" i="4"/>
  <c r="R2" i="4"/>
  <c r="Q2" i="4"/>
  <c r="S1" i="4"/>
</calcChain>
</file>

<file path=xl/sharedStrings.xml><?xml version="1.0" encoding="utf-8"?>
<sst xmlns="http://schemas.openxmlformats.org/spreadsheetml/2006/main" count="618" uniqueCount="291">
  <si>
    <t>الإدارة</t>
  </si>
  <si>
    <t>الفئة الوظيفية</t>
  </si>
  <si>
    <t>الدولة</t>
  </si>
  <si>
    <t>الشركة</t>
  </si>
  <si>
    <t>نموذج إدارة الأداء</t>
  </si>
  <si>
    <t>مكتب الرئيس التنفيذي</t>
  </si>
  <si>
    <t>مصر</t>
  </si>
  <si>
    <t>الكرم للمباني</t>
  </si>
  <si>
    <t>تاريخ المراجعة</t>
  </si>
  <si>
    <t>من</t>
  </si>
  <si>
    <t>إلى</t>
  </si>
  <si>
    <t>الخدمات اللوجستية</t>
  </si>
  <si>
    <t>المملكة المتحدة</t>
  </si>
  <si>
    <t>الكرم لبيع وتوزيع الكهرباء</t>
  </si>
  <si>
    <t>المالية</t>
  </si>
  <si>
    <t>هولندا</t>
  </si>
  <si>
    <t>سهل حشيش للطاقة الشمسية</t>
  </si>
  <si>
    <t>اسم الموظف</t>
  </si>
  <si>
    <t>المدير المباشر</t>
  </si>
  <si>
    <t>الموارد البشرية والشؤون الإدارية</t>
  </si>
  <si>
    <t>قبرص</t>
  </si>
  <si>
    <t>توليد الطاقة</t>
  </si>
  <si>
    <t>تونس</t>
  </si>
  <si>
    <t>المسمى الوظيفي</t>
  </si>
  <si>
    <t>مكتب التشغيل والصيانة</t>
  </si>
  <si>
    <t>الإمارات</t>
  </si>
  <si>
    <t>تطوير الأعمال</t>
  </si>
  <si>
    <t>تاريخ التعيين</t>
  </si>
  <si>
    <t>الاستثمار</t>
  </si>
  <si>
    <t>أندروميدا للطاقة الشمسية</t>
  </si>
  <si>
    <t>المدير الأعلى</t>
  </si>
  <si>
    <t>الإدارة العامة</t>
  </si>
  <si>
    <t>الكرم للمياه</t>
  </si>
  <si>
    <t>التوزيع</t>
  </si>
  <si>
    <t>الإدارة العليا</t>
  </si>
  <si>
    <t>الكرم لشحن المركبات الكهربائية</t>
  </si>
  <si>
    <t>المشتريات</t>
  </si>
  <si>
    <t>الإدارة الوسطى</t>
  </si>
  <si>
    <t>الكيان البريطاني</t>
  </si>
  <si>
    <t>المكتب الفني</t>
  </si>
  <si>
    <t>الموظفون</t>
  </si>
  <si>
    <t>الكيان الهولندي</t>
  </si>
  <si>
    <t>الالتزام</t>
  </si>
  <si>
    <t>العمالة الفنية - فنيون</t>
  </si>
  <si>
    <t>سارابيس للطاقة</t>
  </si>
  <si>
    <t>التحول الرقمي</t>
  </si>
  <si>
    <t>ساند</t>
  </si>
  <si>
    <t>الشؤون القانونية</t>
  </si>
  <si>
    <t>العمليات</t>
  </si>
  <si>
    <t>الصحة والسلامة والبيئة</t>
  </si>
  <si>
    <t>تحديد الأهداف الرئيسية</t>
  </si>
  <si>
    <t>المهارة الرئيسية</t>
  </si>
  <si>
    <t>المهارة الوظيفية</t>
  </si>
  <si>
    <t>هدف الالتزام</t>
  </si>
  <si>
    <t>المقياس</t>
  </si>
  <si>
    <t>الدقة والاهتمام بالتفاصيل</t>
  </si>
  <si>
    <t>المساهمة فى تطوير الإدارات الأخرى</t>
  </si>
  <si>
    <t>استكمال السياسات الوظيفية لجميع الإدارات وإغلاق إجراءات تدقيق الالتزام</t>
  </si>
  <si>
    <t>الرد على السياسات واستكمالها خلال أسبوعين من الاستلام؛ وإغلاق 95% من إجراءات تدقيق الالتزام</t>
  </si>
  <si>
    <t>الالتزام بالنظم والقوانين</t>
  </si>
  <si>
    <t>التخطيط الاستراتيجى واتخاذ القرار</t>
  </si>
  <si>
    <t>التدريب والتوعية وتنفيذ أنظمة وسياسات الالتزام التي تم إطلاقها</t>
  </si>
  <si>
    <t>اجتياز اختبارات التدريب بدرجة ≥ 85%؛ وعدم وجود أي انتهاكات للسياسات</t>
  </si>
  <si>
    <t>م</t>
  </si>
  <si>
    <t>الهدف / الأهداف</t>
  </si>
  <si>
    <t>الوزن النسبي</t>
  </si>
  <si>
    <t>تاريخ الاستحقاق</t>
  </si>
  <si>
    <t>التطوير الشخصى</t>
  </si>
  <si>
    <t>التخطيط والموازنة</t>
  </si>
  <si>
    <t>حضور جميع التدريبات والإبلاغ عن الأحداث</t>
  </si>
  <si>
    <t>اجتياز اختبارات التدريب بدرجة ≥ 75%؛ والإبلاغ عن 3 أحداث/مخالفات شهريًا</t>
  </si>
  <si>
    <t>الاهتمام بالنتائج</t>
  </si>
  <si>
    <t>المهارات الفنية</t>
  </si>
  <si>
    <t>التحليل والتعرف على الأنماط</t>
  </si>
  <si>
    <t>هدف الصحة والسلامة والبيئة</t>
  </si>
  <si>
    <t>المقاييس</t>
  </si>
  <si>
    <t>تطوير وتفويض وتحفيز العاملين</t>
  </si>
  <si>
    <t>ضمان التزام القيادة بالامتثال لمتطلبات الصحة والسلامة والبيئة والحوكمة والقيادة الظاهرة للسلامة.</t>
  </si>
  <si>
    <t>• حضور 100% من تدريبات الصحة والسلامة والبيئة• حضور 100% من اجتماعات الصحة والسلامة والبيئة• إتمام 4 ملاحظات سلامة• إجراء جولتي سلامة إدارية• عدم وجود أي إنذارات شفهية أو كتابية</t>
  </si>
  <si>
    <t>القدرات القيادية</t>
  </si>
  <si>
    <t>ضمان التنفيذ والمتابعة والتطبيق الفعال لأنظمة وسياسات الصحة والسلامة والبيئة داخل الفرق.</t>
  </si>
  <si>
    <t>• حضور 100% من تدريبات الصحة والسلامة والبيئة• حضور 100% من اجتماعات الصحة والسلامة والبيئة• إتمام 4 ملاحظات سلامة• إجراء جولتي سلامة إدارية• إغلاق 100% من إجراءات التدقيق الحرجة و80% من الإجراءات الأخرى• عدم وجود أي إنذارات شفهية أو كتابية</t>
  </si>
  <si>
    <t>الامتثال لمتطلبات الصحة والسلامة والبيئة والمساهمة الفعالة في بيئة عمل آمنة وملتزمة.</t>
  </si>
  <si>
    <t>• حضور 100% من تدريبات الصحة والسلامة والبيئة• حضور 100% من اجتماعات الصحة والسلامة والبيئة• تقديم 12 ملاحظة سلامة• إغلاق 100% من إجراءات التدقيق الحرجة و80% من الإجراءات الأخرى المسندة• عدم وجود أي إنذارات شفهية أو كتابية</t>
  </si>
  <si>
    <t>العمالة الفنية</t>
  </si>
  <si>
    <t>الالتزام بإجراءات الصحة والسلامة والبيئة والمشاركة الفعالة في الحفاظ على بيئة عمل آمنة.</t>
  </si>
  <si>
    <t>• حضور 100% من تدريبات الصحة والسلامة والبيئة• حضور 100% من اجتماعات الصحة والسلامة والبيئة• تقديم 12 ملاحظة سلامة• عدم وجود أي إنذارات شفهية أو كتابية</t>
  </si>
  <si>
    <t>إجمالي الأوزان</t>
  </si>
  <si>
    <t>القدرة على الإبداع والابتكار</t>
  </si>
  <si>
    <t>القدرة على حل المشاكل</t>
  </si>
  <si>
    <t>تاريخ آخر مراجعة</t>
  </si>
  <si>
    <t>درجة أهداف المراجعة السابقة</t>
  </si>
  <si>
    <t>المبادرة</t>
  </si>
  <si>
    <t>تعريف مقياس المهارات</t>
  </si>
  <si>
    <t>مبتدئ</t>
  </si>
  <si>
    <t>في طور التطور</t>
  </si>
  <si>
    <t>كفء</t>
  </si>
  <si>
    <t>متقدم</t>
  </si>
  <si>
    <t>خبير</t>
  </si>
  <si>
    <t>العمالة الفنية - قائد</t>
  </si>
  <si>
    <t>المهارات الرئيسية</t>
  </si>
  <si>
    <t>التقييم</t>
  </si>
  <si>
    <t>متوسط التقييم</t>
  </si>
  <si>
    <t>المعرفة</t>
  </si>
  <si>
    <t>التميز</t>
  </si>
  <si>
    <t>المعرفة التامة بمنتجات الشركة</t>
  </si>
  <si>
    <t>النجاح</t>
  </si>
  <si>
    <t>السلوك</t>
  </si>
  <si>
    <t>التعاون والتراحم</t>
  </si>
  <si>
    <t>تحمل المسؤولية</t>
  </si>
  <si>
    <t>تقبل النقد</t>
  </si>
  <si>
    <t>الاحترام</t>
  </si>
  <si>
    <t>عقلية التعلم</t>
  </si>
  <si>
    <t>المهارات الوظيفية</t>
  </si>
  <si>
    <t>ملاحظات إضافية</t>
  </si>
  <si>
    <t>الموظف</t>
  </si>
  <si>
    <t>التوقيع</t>
  </si>
  <si>
    <t>التاريخ</t>
  </si>
  <si>
    <t>مراجعة الأداء</t>
  </si>
  <si>
    <t>بناءً على الأهداف المتفق عليها في التقييم السابق، ينبغي أن يجري المدير والموظف تقييمًا موضوعيًا ومدروسًا للأداء مقابل كل هدف.</t>
  </si>
  <si>
    <t>الأهداف</t>
  </si>
  <si>
    <t>الدرجة</t>
  </si>
  <si>
    <t>الدرجة الموزونة</t>
  </si>
  <si>
    <t>ملاحظات</t>
  </si>
  <si>
    <t xml:space="preserve"> </t>
  </si>
  <si>
    <t>الإجمالي</t>
  </si>
  <si>
    <t>حالة الأداء</t>
  </si>
  <si>
    <t>الفترة السابقة</t>
  </si>
  <si>
    <t>المهارات رئيسية للوظيفية</t>
  </si>
  <si>
    <t>التقييم المطلوب</t>
  </si>
  <si>
    <t>التقييم الفعلي</t>
  </si>
  <si>
    <t>المهارات ثانوية للوظيفية</t>
  </si>
  <si>
    <t>متوسط تقييم المهارات</t>
  </si>
  <si>
    <t>الدرجة الكلية للتقييم</t>
  </si>
  <si>
    <t>حالة الإمكانات</t>
  </si>
  <si>
    <t>حالة تخطيط التعاقب</t>
  </si>
  <si>
    <t>ملاحظات إضافية عامة</t>
  </si>
  <si>
    <t>الأداء</t>
  </si>
  <si>
    <t>الإمكانات</t>
  </si>
  <si>
    <t>مصفوفة الصناديق التسعة</t>
  </si>
  <si>
    <t>السجل</t>
  </si>
  <si>
    <t>مرتفع</t>
  </si>
  <si>
    <t>أفضل المواهب</t>
  </si>
  <si>
    <t>منخفض</t>
  </si>
  <si>
    <t>متوسط</t>
  </si>
  <si>
    <t>إمكانات عالية</t>
  </si>
  <si>
    <t>نجم واعد</t>
  </si>
  <si>
    <t>عالي الأداء</t>
  </si>
  <si>
    <t>ركيزة أساسية</t>
  </si>
  <si>
    <t>أداء واعد</t>
  </si>
  <si>
    <t>أداء ثابت</t>
  </si>
  <si>
    <t>أداء متوسط</t>
  </si>
  <si>
    <t>أداء ضعيف</t>
  </si>
  <si>
    <t>مصفوفة الصناديق التسعة - تخطيط التعاقب</t>
  </si>
  <si>
    <t>الوصف</t>
  </si>
  <si>
    <t>خطة العمل</t>
  </si>
  <si>
    <t>الإمكانات / المهارات</t>
  </si>
  <si>
    <t>4 - 5</t>
  </si>
  <si>
    <t>نجم واعد
- إمكانات عالية / أداء منخفض
- قدوة في وظيفته الحالية
- أداء غير مستقر والتوقعات لم تتحقق بالكامل بعد.</t>
  </si>
  <si>
    <t>إمكانات عالية
- إمكانات عالية / أداء متوسط
- يحقق الأهداف غالبًا ويُظهر إمكاناته في المواقف الجديدة والصعبة.
- قدوة في وظيفته الحالية
- يحقق نتائج استثنائية باستمرار</t>
  </si>
  <si>
    <t>أفضل المواهب
- إمكانات عالية / أداء عالٍ
- أداء متجاوز للتوقعات أو استثنائي
- قدوة على مستوى المؤسسة
- مؤهل للترقية الآن</t>
  </si>
  <si>
    <t>نجم واعد
- وضّح توقعاتك
- راقب الأداء لمدة سنة
- في حال عدم التحسن: خطة إنهاء الخدمة</t>
  </si>
  <si>
    <t>أفضل المواهب
جاهز الآن</t>
  </si>
  <si>
    <t>3 - 3.9</t>
  </si>
  <si>
    <t>أداء واعد
- إمكانات متوسطة / أداء منخفض
- لا يزال جديدًا في دوره الحالي ولا يؤدي جميع المهام بعد
- التوقعات لم تتحقق بعد
- الأداء غير مستقر أو في تراجع</t>
  </si>
  <si>
    <t>ركيزة أساسية
- إمكانات متوسطة / أداء متوسط
- يلبي توقعات الأداء وهناك إمكانات عالية لتحمل مسؤوليات أكبر، ويتكيف سريعًا مع التغيير.
- قادر على النمو إلى دور أكثر تعقيدًا
- قد يكون مؤهلًا للترقية خارج مستواه الحالي</t>
  </si>
  <si>
    <t>عالي الأداء
- إمكانات متوسطة / أداء عالٍ
- أداء قوي يلبي التوقعات أو يتجاوزها باستمرار، ولديه القدرة على النمو إلى دور أكثر تعقيدًا.</t>
  </si>
  <si>
    <t>أداء واعد
- خطة تدريب وتحسين
- متابعة الأداء شهريًا لمدة 6 أشهر إلى سنة
- في حال عدم التحسن: خطة إنهاء الخدمة</t>
  </si>
  <si>
    <t>عالي الأداء
سنة إلى سنتان للخطوة التالية</t>
  </si>
  <si>
    <t>2 -2.9</t>
  </si>
  <si>
    <t>أداء ضعيف
- أداء منخفض / إمكانات منخفضة
- لا يلبي توقعات الأداء أو يلبيها جزئيًا
- قد لا يكون مناسبًا لدوره الحالي</t>
  </si>
  <si>
    <t>أداء متوسط
- إمكانات منخفضة / أداء منخفض
- مناسب لدوره الحالي ويقدم قيمة باستمرار، لكنه قد يفتقر إلى الرغبة في الانتقال لمنصب أعلى.</t>
  </si>
  <si>
    <t>أداء ثابت
- إمكانات منخفضة / أداء عالٍ
- يقدم قيمة كبيرة في دوره الحالي لكن من غير المرجح انتقاله إلى مستوى أعلى.</t>
  </si>
  <si>
    <t>أداء ضعيف
خطة إنهاء الخدمة</t>
  </si>
  <si>
    <t>أداء متوسط
- خطة تدريب وتحسين
- متابعة الأداء شهريًا لمدة 6 أشهر إلى سنة
- في حال عدم التحسن: خطة إنهاء الخدمة</t>
  </si>
  <si>
    <t>أداء ثابت
- وضّح توقعاتك
- راقب الأداء لمدة سنة
- في حال عدم التحسن: خطة إنهاء الخدمة</t>
  </si>
  <si>
    <t>60 % - 79%</t>
  </si>
  <si>
    <t>80% - 89%</t>
  </si>
  <si>
    <t>90% فأعلى</t>
  </si>
  <si>
    <t>خطة التطوير</t>
  </si>
  <si>
    <t>التخطيط الوظيفي</t>
  </si>
  <si>
    <t>قصير المدى</t>
  </si>
  <si>
    <t>طويل المدى</t>
  </si>
  <si>
    <t>خطة التعلم والتطوير</t>
  </si>
  <si>
    <t>مجالات التحسين (إن وجدت)</t>
  </si>
  <si>
    <t>الإجراء</t>
  </si>
  <si>
    <t>قسم التدريب والتطوير</t>
  </si>
  <si>
    <t>العدد</t>
  </si>
  <si>
    <t>الدورة التدريبية</t>
  </si>
  <si>
    <t>الجهة أو المصدر</t>
  </si>
  <si>
    <t>التاريخ المفضل</t>
  </si>
  <si>
    <t>التميز.
التميز ليس هدفًا بل معيار. نفخر بفهمنا الكامل لمجالات خبرتنا بما ينعكس على تقديم عمل عالي الجودة لعملائنا الداخليين والخارجيين.</t>
  </si>
  <si>
    <t>يفهم المتطلبات الأساسية للوظيفة.
يطلب التوجيه لضمان استيفاء العمل الحد الأدنى من معايير الجودة.</t>
  </si>
  <si>
    <t>يطبق المعرفة الفنية على المهام باستمرار.
يبدأ في اكتشاف أخطائه وتصحيحها قبل التسليم.</t>
  </si>
  <si>
    <t>يتقن نطاق العمل إتقانًا تامًا.
يحقق نتائج عالية الجودة باستقلالية تلبي توقعات العملاء أو تتجاوزها.</t>
  </si>
  <si>
    <t>يستبق مشكلات الجودة قبل حدوثها.
يبسّط العمليات لتحسين الكفاءة دون التضحية بالجودة.</t>
  </si>
  <si>
    <t>يضع "المعايير الذهبية" للشركة وينتج معرفة جديدة في مجال تخصصه
معترف به كخبير متخصص يوجّه الآخرين نحو الإتقان.</t>
  </si>
  <si>
    <t>النجاح.
نجاحنا هو تقديم عمل عالي الجودة يضمن نموًا ماليًا قويًا وتطويرًا مستمرًا لأحدث التقنيات في مجال خبرتنا.</t>
  </si>
  <si>
    <t>ينجز المهام الموكلة إليه في الوقت المحدد.
يدرك كيف يسهم دوره المحدد في أهداف الفريق.</t>
  </si>
  <si>
    <t>يقترح تحسينات صغيرة لتوفير الوقت أو الموارد.
يُظهر وعيًا بالأهداف المالية للشركة.</t>
  </si>
  <si>
    <t>ينجز أعمالًا تسهم مباشرة في ربحية المشروع أو استمرارية التشغيل التقني.
يوازن بين الجودة والسرعة بفاعلية.</t>
  </si>
  <si>
    <t>يحدد فرصًا جديدة لتوفير التكاليف أو تحقيق الإيرادات.
يسهم بفاعلية في التطوير أو التحسين التقني.</t>
  </si>
  <si>
    <t>يقود مبادرات واسعة النطاق تحقق قيمة كبيرة للمؤسسة.
يوائم الابتكار التقني مع الأداء السوقي طويل المدى بما في ذلك إنتاج براءات الاختراع وتسويقها تجاريًا.</t>
  </si>
  <si>
    <t>التعاون والتراحم.
التعاون الحقيقي يعني العمل الجماعي الفعّال، ومشاركة المعرفة، واحترام وجهات النظر المختلفة، والاستفادة من نقاط قوة فرقنا المتنوعة. احرص على توجيه الآخرين وإرشادهم.</t>
  </si>
  <si>
    <t>يشارك في الاجتماعات ويشارك المعلومات عند الطلب.
يحافظ على علاقات عمل لائقة ومهذبة.
يُظهر وعيًا أساسيًا باحتياجات الآخرين.
يشارك في أنشطة بناء الفريق</t>
  </si>
  <si>
    <t>يبادر بمساعدة زملائه دون أن يُطلب منه.
يقر بوجهات النظر المختلفة أثناء النقاشات.
يدعم زملاءه في فترات الضغط عند الحاجة.</t>
  </si>
  <si>
    <t>يشارك المعرفة بفاعلية لمنع احتكار المعلومات وضمان أقصى استفادة.
يعمل بفاعلية مع زملاء متنوعين من مختلف الإدارات.
يستبق احتياجات زملائه ويقدم الدعم بشكل استباقي.</t>
  </si>
  <si>
    <t>يرسّخ ثقافة التآزر الشامل.
يستثمر التنوع الكامل للقوى العاملة لحل التحديات المعقدة متعددة الأبعاد.
يستبق احتياجات الأفراد والمؤسسة ويتصرف بعناية من خلال قرارات توازن بين الأداء والاستدامة طويلة المدى.
يبني فرقًا قوية عالية الأداء من خلال قيادة مبادرات هادفة لبناء الفريق وتعزيز المشاركة والتعاون المستمرين.</t>
  </si>
  <si>
    <t>يتحمل مسؤولية المهام اليومية ويُظهر المستوى المناسب من العناية للتسليم وفق المعايير المتوقعة والمتفق عليها.
يقدم تحديثات عن سير العمل دون أن يُطلب منه.</t>
  </si>
  <si>
    <t>يحمّل نفسه مسؤولية تحقيق مؤشرات الأداء الرئيسية ويبحث باستمرار عن حلول قصيرة وطويلة المدى.
يتخذ إجراءً تصحيحيًا فوريًا إذا انحرفت النتائج عن الخطة.</t>
  </si>
  <si>
    <t>يضع معايير النزاهة المؤسسية من خلال دور فعّال في أنشطة التحسين.
يتحمل المسؤولية الكاملة عن المخاطر الاستراتيجية عالية الأهمية وعواقبها</t>
  </si>
  <si>
    <t>الاحترام.
نتصرف باحترام ونزاهة وشفافية لا تتزعزع مهما كان السياق أو المكان.</t>
  </si>
  <si>
    <t>يُظهر وعيًا بثقافة الشركة وتنوعها.
يحافظ على الشفافية حتى عند نقل "الأخبار السيئة" أو الإبلاغ عن الأخطاء.</t>
  </si>
  <si>
    <t>يواظب على السلوك الأخلاقي لضمان التماسك المؤسسي.
يعامل جميع الزملاء، من عمال الموقع إلى التنفيذيين، بكرامة متساوية.</t>
  </si>
  <si>
    <t>عقلية التعلم.
نحن متحمسون للتعلم المستمر من خلال التعامل مع تفاعلاتنا وتجاربنا اليومية كفرص عظيمة للتعلم والتطور واكتساب المعرفة.</t>
  </si>
  <si>
    <t>يطرح أسئلة ثاقبة لتعميق الفهم.
يطبق الدروس المستفادة من الأخطاء السابقة على العمل الحالي.
يقر بمجالات التحسين عند تلقي الملاحظات ويشارك في فرص التدريب ذات الصلة.</t>
  </si>
  <si>
    <t>يستفيد من الملاحظات بفاعلية ويسعى للتطوير الذاتي
يتابع أحدث اتجاهات الطاقة الشمسية والتغييرات التنظيمية في الدول التي نعمل بها.
يحدد بفاعلية فجوات مهاراته، ويطلب الملاحظات، ويطلب التدريب المناسب لتحسين الأداء.</t>
  </si>
  <si>
    <t>يحوّل التحديات اليومية إلى فرص تعلم للفريق.
يتكيف بسرعة مع التقنيات والأسواق والأعمال الجديدة.
يقود تطوره الشخصي بشكل استباقي من خلال التقييم المستمر لنقاط القوة والضعف والسعي وراء فرص تعلم موجهة.</t>
  </si>
  <si>
    <t>يقود ثقافة "التعلم المؤسسي" ويشجع الزملاء على التعلم ويقود بالقدوة.
يستبق فجوات المهارات المستقبلية ويبني الأنظمة اللازمة لمعالجتها.
يرسّخ عقلية التعلم في العمل اليومي، ويكون نموذجًا للتطوير الذاتي، ويشجع ثقافة التعلم والنمو المستمرين.</t>
  </si>
  <si>
    <t>مهارات الوظيفية</t>
  </si>
  <si>
    <t>يقيس القدرة على الاهتمام بالتفاصيل، وتقليل الأخطاء، والحفاظ على وضوح المهام والتزامها بالجدول لضمان نتائج خالية من الأخطاء</t>
  </si>
  <si>
    <t>يقيس القدرة على وضع وتطبيق الإرشادات والسياسات والإجراءات لضمان الاتساق وإتاحة التحسين</t>
  </si>
  <si>
    <t>يقيس الرغبة في التطوير الذاتي والخطوات المتخذة لتحقيقه</t>
  </si>
  <si>
    <t>يقيس القدرة على وضع وتحقيق أهداف واضحة، ومتابعة المهام حتى إتمامها، وتحمل مسؤولية حل المشكلات التي قد تهدد الإنجاز</t>
  </si>
  <si>
    <t>يقيس القدرة على تعلم ودمج واستخدام المعارف والخبرات الجديدة المتعلقة بالعمل للوصول إلى أقصى إمكانات التطوير الذاتي</t>
  </si>
  <si>
    <t>يقيس مدى مساهمة المدير في تحسين وتطوير الإدارات الأخرى / التعاون بين الإدارات</t>
  </si>
  <si>
    <t>يقيس القدرة على الاستشراف الواضح للمستقبل بنظرة عمل مستقبلية، وتوقع العواقب والاتجاهات المستقبلية، والتوجه نحو المستقبل، وتصور المؤسسة ككل والعلاقات بين أجزائها المختلفة</t>
  </si>
  <si>
    <t>يقيس القدرة على جمع وفحص المعلومات والحقائق والبيانات، والتعرف على الأنماط، والتعميم من الجزئيات، ودمج البيانات المتفرقة في كلٍّ متماسك</t>
  </si>
  <si>
    <t>يقيس كيفية تعامل المدير مع مديري الصف الثاني: التفويض، والتحفيز، ومعدل دوران العمالة، والتدريب...</t>
  </si>
  <si>
    <t>يقيس القدرة على القيادة / حل المشكلات / تسوية النزاعات / اتخاذ القرارات</t>
  </si>
  <si>
    <t>يقيس قدرة الموظف على توليد أفكار جديدة وتطوير الأفكار القائمة إلى حلول قابلة للتنفيذ، وكذلك القدرة على تطوير أو تحسين الأنظمة القائمة</t>
  </si>
  <si>
    <t>يقيس القدرة على تنظيم وتحليل المعلومات، وتحديد الحلول، وتنفيذ الأنسب منها</t>
  </si>
  <si>
    <t>العمل الجماعى</t>
  </si>
  <si>
    <t>يقيس القدرة على العمل الجيد ضمن الفريق، والتواصل بكفاءة كتابةً وشفاهةً، والاستفادة من المعرفة، والاستماع بعناية، والمساعدة في حل نزاعات الفريق، والتعاون</t>
  </si>
  <si>
    <t>القدرة على الاستماع والتقرب من الآخرين بسهولة</t>
  </si>
  <si>
    <t>يقيس القدرة على التقرب من الآخرين بأسلوب ودود، وبناء علاقات جيدة، وحسن الاستماع</t>
  </si>
  <si>
    <t>القدرة على التواصل</t>
  </si>
  <si>
    <t>يقيس القدرة على التواصل مع الزملاء / المرؤوسين / العملاء / المديرين... والوصول إلى نتائج بنّاءة</t>
  </si>
  <si>
    <t>التطوير المستمر</t>
  </si>
  <si>
    <t>يقيس كيفية تعامل المدير مع فرص التحسين / عدد المرات التي اقترح فيها المدير ونفّذ تغييرًا أو تطويرًا في العمليات خلال الفترة</t>
  </si>
  <si>
    <t>الاهتمام بالعميل</t>
  </si>
  <si>
    <t>يقيس القدرة على تلبية توقعات العملاء أو تجاوزها، والعمل بما يراعي مصلحة العميل، وكسب ثقته وولائه</t>
  </si>
  <si>
    <t>المظهر العام</t>
  </si>
  <si>
    <t>يقيس مدى المظهر المهني للموظف ومظهره العام</t>
  </si>
  <si>
    <t>يقيس القدرة على المبادرة، واتخاذ الإجراء المناسب دون طلب، والعمل بأقل قدر من التوجيهات، وتحمل المسؤولية</t>
  </si>
  <si>
    <t>المهارات التفاوضية</t>
  </si>
  <si>
    <t>يقيس القدرة على التفاوض بمهارة في المواقف الصعبة داخليًا وخارجيًا، والوصول إلى نتائج مقبولة دون الإضرار بالعلاقات</t>
  </si>
  <si>
    <t>القدرة على تكوين شبكة اتصالات</t>
  </si>
  <si>
    <t>يقيس القدرة على رؤية الفرص واقتناصها، وبناء شبكات من العلاقات الرسمية وغير الرسمية، والتمتع بحس تجاري جيد</t>
  </si>
  <si>
    <t>يقيس معرفة الموظف بجميع تفاصيل المنتجات وإتمام التدريبات المطلوبة على المنتجات</t>
  </si>
  <si>
    <t>إعداد التقارير</t>
  </si>
  <si>
    <t>أصدار التقارير فى الوقت المناسب بالكفاءة المطلوبة</t>
  </si>
  <si>
    <t>يحدد هذا القسم الأهداف والالتزامات للاثنى عشر شهرًا القادمة، وينبغي أن يحتفظ المدير والموظف بنسخة من هذه الصفحة للرجوع إليها على مدار العام.</t>
  </si>
  <si>
    <t>يتحمل مسؤولية نتائج الفريق (حتى وإن لم يكن القائد).
يتصرف كحارس لعلامة كرْم أمام الرأي العام</t>
  </si>
  <si>
    <t>يناصر الشفافية في المواقف الصعبة.
يحمي نزاهة كرْم من خلال التنبيه إلى السلوكيات التي تخالف قيم الشركة.</t>
  </si>
  <si>
    <t>يتبع التعليمات ويعترف بالأخطاء عند الإشارة إليها.
يدرك أهمية سمعة كرْم وحساسيتها.</t>
  </si>
  <si>
    <t>منفتح على الملاحظات ومستعد لحضور جلسات التعلم.
يُظهر فضولًا تجاه أنشطة كرْم والصناعة والدول التي نعمل بها.
يحضر التدريبات المطلوبة عند توجيهه</t>
  </si>
  <si>
    <t>تحمل المسؤولية.
كل منا مسؤول عن الحفاظ على سمعة كرْم ونجاحها، مع تحمل المسؤولية عن نتائجنا. نبني ثقافة تعتمد على الالتزام بالحوكمة والعمليات، لا على الثقة بين الأفراد.</t>
  </si>
  <si>
    <t>يحل نزاعات الفريق بشكل بنّاء.
يبني جسورًا بين المواقع الدولية لتنسيق الجهود.
يُعد قدوة في القيادة الواعية ويوجّه الآخرين ليحذوا حذوه.
يبادر بأنشطة بناء الفريق ويدعمها بما يعزز التعاون والمشاركة والروح المعنوية.</t>
  </si>
  <si>
    <t>يجسد البوصلة الأخلاقية لكرْم المتمثلة في السياسات والسلوك الاجتماعي.
يخلق بيئة يكون فيها الأمان النفسي والشفافية هما القاعدة.</t>
  </si>
  <si>
    <t>يلتزم بميثاق السلوك المهني لكرْم.
يتواصل بصدق مع الزملاء والرؤساء المباشرين.</t>
  </si>
  <si>
    <t xml:space="preserve"> الإنشاءات</t>
  </si>
  <si>
    <t>كرم للمباني - كال</t>
  </si>
  <si>
    <t>كرم القابضة</t>
  </si>
  <si>
    <t>المريخ للكهرباء والتوزيع</t>
  </si>
  <si>
    <t>زحل</t>
  </si>
  <si>
    <t>عطارد لبيع وتوزيع الكهرباء</t>
  </si>
  <si>
    <t>المشتري لبيع وتوزيع الكهرباء</t>
  </si>
  <si>
    <t>الزهرة لبيع وتوزيع الكهرباء</t>
  </si>
  <si>
    <t>Knowledge</t>
  </si>
  <si>
    <t>Excellence</t>
  </si>
  <si>
    <t>Success</t>
  </si>
  <si>
    <t>Attitude</t>
  </si>
  <si>
    <t>Collaboration and Care</t>
  </si>
  <si>
    <t>Accountability</t>
  </si>
  <si>
    <t>Feedback</t>
  </si>
  <si>
    <t>Respect</t>
  </si>
  <si>
    <t>Learner Mindset</t>
  </si>
  <si>
    <t>Core Competencies</t>
  </si>
  <si>
    <t>Contribution to Other Functions Development</t>
  </si>
  <si>
    <t>Strategic Thinking &amp; Decision Making</t>
  </si>
  <si>
    <t>Budgeting &amp; Forcasting</t>
  </si>
  <si>
    <t>Analysis &amp; Pattern Recognition</t>
  </si>
  <si>
    <t>Delegation &amp; People Management &amp; Development</t>
  </si>
  <si>
    <t>Leadership</t>
  </si>
  <si>
    <t>Creativity &amp; Innovation</t>
  </si>
  <si>
    <t>Problem Solving</t>
  </si>
  <si>
    <t>Initiative</t>
  </si>
  <si>
    <t>Product Knoweledge</t>
  </si>
  <si>
    <t>Functional Competencies</t>
  </si>
  <si>
    <t>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</si>
</sst>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409]dd\-mmm\-yy;@"/>
    <numFmt numFmtId="165" formatCode="d\-mmm\-yy"/>
    <numFmt numFmtId="166" formatCode="dd\ mmm\ yyyy"/>
    <numFmt numFmtId="167" formatCode="[$-409]d\-mmm\-yy;@"/>
    <numFmt numFmtId="168" formatCode="0.000%"/>
    <numFmt numFmtId="169" formatCode="_(* #,##0.0_);_(* \(#,##0.0\);_(* \-??_);_(@_)"/>
    <numFmt numFmtId="170" formatCode="0.0"/>
    <numFmt numFmtId="172" formatCode="[$-2000401]0"/>
  </numFmts>
  <fonts count="63" x14ac:knownFonts="1">
    <font>
      <sz val="10"/>
      <name val="Arial"/>
      <charset val="1"/>
    </font>
    <font>
      <sz val="12"/>
      <color theme="1"/>
      <name val="Calibri"/>
      <family val="2"/>
      <charset val="1"/>
    </font>
    <font>
      <sz val="11"/>
      <name val="Calibri"/>
      <family val="2"/>
      <charset val="1"/>
    </font>
    <font>
      <sz val="11"/>
      <color theme="1"/>
      <name val="Times New Roman"/>
      <family val="1"/>
    </font>
    <font>
      <b/>
      <sz val="11"/>
      <name val="Arial"/>
      <family val="2"/>
    </font>
    <font>
      <b/>
      <sz val="14"/>
      <color theme="0"/>
      <name val="Arial"/>
      <family val="2"/>
    </font>
    <font>
      <b/>
      <sz val="14"/>
      <color theme="0"/>
      <name val="Calibri"/>
      <family val="2"/>
      <charset val="1"/>
    </font>
    <font>
      <sz val="14"/>
      <name val="Calibri"/>
      <family val="2"/>
      <charset val="1"/>
    </font>
    <font>
      <b/>
      <sz val="11"/>
      <color theme="1"/>
      <name val="Times New Roman"/>
      <family val="1"/>
    </font>
    <font>
      <sz val="12"/>
      <color rgb="FF000000"/>
      <name val="Arial"/>
      <family val="2"/>
    </font>
    <font>
      <sz val="11"/>
      <name val="Arial"/>
      <family val="2"/>
    </font>
    <font>
      <b/>
      <sz val="11"/>
      <color theme="0"/>
      <name val="Arial"/>
      <family val="2"/>
    </font>
    <font>
      <b/>
      <sz val="11"/>
      <name val="Calibri"/>
      <family val="2"/>
      <charset val="1"/>
    </font>
    <font>
      <sz val="11"/>
      <color rgb="FF000000"/>
      <name val="Arial"/>
      <family val="2"/>
    </font>
    <font>
      <b/>
      <i/>
      <sz val="11"/>
      <color theme="0"/>
      <name val="Arial"/>
      <family val="2"/>
    </font>
    <font>
      <b/>
      <i/>
      <sz val="11"/>
      <name val="Calibri"/>
      <family val="2"/>
      <charset val="1"/>
    </font>
    <font>
      <sz val="10"/>
      <color theme="1"/>
      <name val="Baskerville Old Face"/>
      <family val="1"/>
      <charset val="1"/>
    </font>
    <font>
      <u/>
      <sz val="10"/>
      <color rgb="FF0000FF"/>
      <name val="Arial"/>
      <family val="2"/>
      <charset val="1"/>
    </font>
    <font>
      <b/>
      <sz val="10"/>
      <color rgb="FF000000"/>
      <name val="Arial"/>
      <family val="2"/>
      <charset val="1"/>
    </font>
    <font>
      <i/>
      <sz val="11"/>
      <name val="Arial"/>
      <family val="2"/>
    </font>
    <font>
      <i/>
      <sz val="11"/>
      <name val="Calibri"/>
      <family val="2"/>
      <charset val="1"/>
    </font>
    <font>
      <sz val="12"/>
      <color theme="1"/>
      <name val="Gill Sans MT"/>
      <family val="2"/>
      <charset val="1"/>
    </font>
    <font>
      <sz val="10"/>
      <color rgb="FF000000"/>
      <name val="Arial"/>
      <family val="2"/>
      <charset val="1"/>
    </font>
    <font>
      <sz val="12"/>
      <name val="Gill Sans MT"/>
      <family val="2"/>
      <charset val="1"/>
    </font>
    <font>
      <b/>
      <i/>
      <sz val="11"/>
      <name val="Arial"/>
      <family val="2"/>
    </font>
    <font>
      <b/>
      <sz val="11"/>
      <color theme="0"/>
      <name val="Calibri"/>
      <family val="2"/>
      <charset val="1"/>
    </font>
    <font>
      <i/>
      <sz val="11"/>
      <color rgb="FF000000"/>
      <name val="Calibri"/>
      <family val="2"/>
      <charset val="1"/>
    </font>
    <font>
      <sz val="11"/>
      <color rgb="FFFFFFFF"/>
      <name val="Calibri"/>
      <family val="2"/>
      <charset val="1"/>
    </font>
    <font>
      <b/>
      <sz val="11"/>
      <color theme="1"/>
      <name val="Arial"/>
      <family val="2"/>
    </font>
    <font>
      <b/>
      <sz val="11"/>
      <color rgb="FF000000"/>
      <name val="Arial"/>
      <family val="2"/>
    </font>
    <font>
      <b/>
      <sz val="11"/>
      <color rgb="FF000000"/>
      <name val="Calibri"/>
      <family val="2"/>
      <charset val="1"/>
    </font>
    <font>
      <sz val="11"/>
      <color rgb="FF000000"/>
      <name val="Calibri"/>
      <family val="2"/>
      <charset val="1"/>
    </font>
    <font>
      <sz val="11"/>
      <color theme="1"/>
      <name val="Arial"/>
      <family val="2"/>
    </font>
    <font>
      <b/>
      <sz val="11"/>
      <name val="Arial"/>
      <family val="2"/>
      <charset val="1"/>
    </font>
    <font>
      <sz val="11"/>
      <color rgb="FF969696"/>
      <name val="Calibri"/>
      <family val="2"/>
      <charset val="1"/>
    </font>
    <font>
      <sz val="11"/>
      <color theme="1"/>
      <name val="Calibri"/>
      <family val="2"/>
      <charset val="1"/>
    </font>
    <font>
      <b/>
      <sz val="11"/>
      <color rgb="FFFFFFFF"/>
      <name val="Calibri"/>
      <family val="2"/>
      <charset val="1"/>
    </font>
    <font>
      <sz val="12"/>
      <name val="Calibri"/>
      <family val="2"/>
      <charset val="1"/>
    </font>
    <font>
      <sz val="18"/>
      <color rgb="FF57595D"/>
      <name val="Arial"/>
      <family val="2"/>
      <charset val="1"/>
    </font>
    <font>
      <b/>
      <i/>
      <sz val="11"/>
      <color rgb="FFFFFFFF"/>
      <name val="Calibri"/>
      <family val="2"/>
      <charset val="1"/>
    </font>
    <font>
      <sz val="10"/>
      <name val="Arial"/>
      <family val="2"/>
      <charset val="1"/>
    </font>
    <font>
      <b/>
      <sz val="22"/>
      <color theme="1"/>
      <name val="Arial"/>
      <family val="2"/>
    </font>
    <font>
      <b/>
      <sz val="16"/>
      <name val="Arial"/>
      <family val="2"/>
      <charset val="1"/>
    </font>
    <font>
      <b/>
      <sz val="16"/>
      <color theme="1"/>
      <name val="Arial"/>
      <family val="2"/>
    </font>
    <font>
      <b/>
      <sz val="11"/>
      <color theme="1"/>
      <name val="Calibri"/>
      <family val="2"/>
      <charset val="1"/>
    </font>
    <font>
      <b/>
      <sz val="9"/>
      <color theme="1"/>
      <name val="Arial"/>
      <family val="2"/>
    </font>
    <font>
      <b/>
      <sz val="9"/>
      <color theme="1"/>
      <name val="Calibri"/>
      <family val="2"/>
      <charset val="1"/>
    </font>
    <font>
      <sz val="11"/>
      <name val="Gill Sans MT"/>
      <family val="2"/>
      <charset val="1"/>
    </font>
    <font>
      <b/>
      <sz val="14"/>
      <color theme="0"/>
      <name val="Gill Sans MT"/>
      <family val="2"/>
      <charset val="1"/>
    </font>
    <font>
      <b/>
      <sz val="11"/>
      <name val="Gill Sans MT"/>
      <family val="2"/>
      <charset val="1"/>
    </font>
    <font>
      <b/>
      <sz val="14"/>
      <color theme="1"/>
      <name val="Calibri"/>
      <family val="2"/>
      <charset val="1"/>
    </font>
    <font>
      <b/>
      <sz val="12"/>
      <color theme="1"/>
      <name val="Calibri"/>
      <family val="2"/>
      <charset val="1"/>
    </font>
    <font>
      <b/>
      <sz val="12"/>
      <color theme="1"/>
      <name val="Arial"/>
      <family val="2"/>
    </font>
    <font>
      <sz val="12"/>
      <color theme="1"/>
      <name val="Arial"/>
      <family val="2"/>
    </font>
    <font>
      <b/>
      <u/>
      <sz val="14"/>
      <color theme="1"/>
      <name val="Aptos Narrow (Body)"/>
      <charset val="1"/>
    </font>
    <font>
      <sz val="10"/>
      <name val="Gill Sans MT"/>
      <family val="2"/>
      <charset val="1"/>
    </font>
    <font>
      <i/>
      <sz val="12"/>
      <color theme="1"/>
      <name val="Gill Sans MT"/>
      <family val="2"/>
      <charset val="1"/>
    </font>
    <font>
      <i/>
      <sz val="12"/>
      <name val="Gill Sans MT"/>
      <family val="2"/>
      <charset val="1"/>
    </font>
    <font>
      <b/>
      <sz val="11"/>
      <name val="Calibri"/>
      <family val="2"/>
    </font>
    <font>
      <sz val="11"/>
      <name val="Calibri"/>
      <family val="2"/>
    </font>
    <font>
      <sz val="11"/>
      <color theme="1"/>
      <name val="Calibri"/>
      <family val="2"/>
      <scheme val="minor"/>
    </font>
    <font>
      <sz val="12"/>
      <color theme="1"/>
      <name val="Gill Sans MT"/>
      <family val="2"/>
    </font>
    <font>
      <b/>
      <sz val="11"/>
      <color rgb="FFFF0000"/>
      <name val="Arial"/>
      <family val="2"/>
    </font>
  </fonts>
  <fills count="29">
    <fill>
      <patternFill patternType="none"/>
    </fill>
    <fill>
      <patternFill patternType="gray125"/>
    </fill>
    <fill>
      <patternFill patternType="solid">
        <fgColor rgb="FFC0C0C0"/>
        <bgColor rgb="FFBFBFBF"/>
      </patternFill>
    </fill>
    <fill>
      <patternFill patternType="solid">
        <fgColor theme="0" tint="-0.14999847407452621"/>
        <bgColor rgb="FFDDD9C3"/>
      </patternFill>
    </fill>
    <fill>
      <patternFill patternType="solid">
        <fgColor rgb="FFFFFFFF"/>
        <bgColor rgb="FFF2F2F2"/>
      </patternFill>
    </fill>
    <fill>
      <patternFill patternType="solid">
        <fgColor rgb="FF000080"/>
        <bgColor rgb="FF002060"/>
      </patternFill>
    </fill>
    <fill>
      <patternFill patternType="solid">
        <fgColor theme="1" tint="0.24988555558946501"/>
        <bgColor rgb="FF333300"/>
      </patternFill>
    </fill>
    <fill>
      <patternFill patternType="solid">
        <fgColor theme="9" tint="0.79989013336588644"/>
        <bgColor rgb="FFEBF1DE"/>
      </patternFill>
    </fill>
    <fill>
      <patternFill patternType="solid">
        <fgColor theme="6" tint="0.79989013336588644"/>
        <bgColor rgb="FFF2F2F2"/>
      </patternFill>
    </fill>
    <fill>
      <patternFill patternType="solid">
        <fgColor theme="0" tint="-4.9989318521683403E-2"/>
        <bgColor rgb="FFEBF1DE"/>
      </patternFill>
    </fill>
    <fill>
      <patternFill patternType="solid">
        <fgColor rgb="FF003366"/>
        <bgColor rgb="FF002060"/>
      </patternFill>
    </fill>
    <fill>
      <patternFill patternType="solid">
        <fgColor theme="7" tint="0.79989013336588644"/>
        <bgColor rgb="FFDCE6F2"/>
      </patternFill>
    </fill>
    <fill>
      <patternFill patternType="solid">
        <fgColor theme="0" tint="-0.34998626667073579"/>
        <bgColor rgb="FF969696"/>
      </patternFill>
    </fill>
    <fill>
      <patternFill patternType="solid">
        <fgColor theme="4" tint="0.79989013336588644"/>
        <bgColor rgb="FFE6E0EC"/>
      </patternFill>
    </fill>
    <fill>
      <patternFill patternType="solid">
        <fgColor theme="5" tint="0.59987182226020086"/>
        <bgColor rgb="FFFFC7CE"/>
      </patternFill>
    </fill>
    <fill>
      <patternFill patternType="solid">
        <fgColor theme="2" tint="-9.9978637043366805E-2"/>
        <bgColor rgb="FFD9D9D9"/>
      </patternFill>
    </fill>
    <fill>
      <patternFill patternType="solid">
        <fgColor theme="0" tint="-0.249977111117893"/>
        <bgColor rgb="FFC0C0C0"/>
      </patternFill>
    </fill>
    <fill>
      <patternFill patternType="solid">
        <fgColor rgb="FF002060"/>
        <bgColor rgb="FF003366"/>
      </patternFill>
    </fill>
    <fill>
      <patternFill patternType="solid">
        <fgColor rgb="FFFFC000"/>
        <bgColor rgb="FFFF9900"/>
      </patternFill>
    </fill>
    <fill>
      <patternFill patternType="solid">
        <fgColor theme="1"/>
        <bgColor rgb="FF003300"/>
      </patternFill>
    </fill>
    <fill>
      <patternFill patternType="solid">
        <fgColor rgb="FFFF99FF"/>
        <bgColor rgb="FFE6B9B8"/>
      </patternFill>
    </fill>
    <fill>
      <patternFill patternType="solid">
        <fgColor theme="0" tint="-0.14999847407452621"/>
        <bgColor indexed="64"/>
      </patternFill>
    </fill>
    <fill>
      <patternFill patternType="solid">
        <fgColor theme="9" tint="0.79998168889431442"/>
        <bgColor indexed="64"/>
      </patternFill>
    </fill>
    <fill>
      <patternFill patternType="solid">
        <fgColor theme="3" tint="-0.249977111117893"/>
        <bgColor rgb="FF969696"/>
      </patternFill>
    </fill>
    <fill>
      <patternFill patternType="solid">
        <fgColor theme="3" tint="-0.249977111117893"/>
        <bgColor indexed="64"/>
      </patternFill>
    </fill>
    <fill>
      <patternFill patternType="solid">
        <fgColor theme="3" tint="-0.249977111117893"/>
        <bgColor rgb="FF002060"/>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tint="-9.9978637043366805E-2"/>
        <bgColor indexed="64"/>
      </patternFill>
    </fill>
  </fills>
  <borders count="109">
    <border>
      <left/>
      <right/>
      <top/>
      <bottom/>
      <diagonal/>
    </border>
    <border>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rgb="FF808080"/>
      </right>
      <top/>
      <bottom/>
      <diagonal/>
    </border>
    <border>
      <left style="medium">
        <color rgb="FF808080"/>
      </left>
      <right style="thin">
        <color auto="1"/>
      </right>
      <top style="medium">
        <color rgb="FF808080"/>
      </top>
      <bottom style="medium">
        <color rgb="FF808080"/>
      </bottom>
      <diagonal/>
    </border>
    <border>
      <left style="thin">
        <color auto="1"/>
      </left>
      <right style="thin">
        <color auto="1"/>
      </right>
      <top style="medium">
        <color rgb="FF808080"/>
      </top>
      <bottom style="medium">
        <color rgb="FF808080"/>
      </bottom>
      <diagonal/>
    </border>
    <border>
      <left/>
      <right style="medium">
        <color auto="1"/>
      </right>
      <top/>
      <bottom/>
      <diagonal/>
    </border>
    <border>
      <left style="medium">
        <color rgb="FF808080"/>
      </left>
      <right style="medium">
        <color rgb="FF808080"/>
      </right>
      <top style="medium">
        <color rgb="FF808080"/>
      </top>
      <bottom style="medium">
        <color rgb="FF808080"/>
      </bottom>
      <diagonal/>
    </border>
    <border>
      <left style="medium">
        <color rgb="FF969696"/>
      </left>
      <right/>
      <top style="medium">
        <color rgb="FF969696"/>
      </top>
      <bottom style="medium">
        <color rgb="FF969696"/>
      </bottom>
      <diagonal/>
    </border>
    <border>
      <left style="medium">
        <color rgb="FF969696"/>
      </left>
      <right style="medium">
        <color rgb="FF969696"/>
      </right>
      <top style="medium">
        <color rgb="FF969696"/>
      </top>
      <bottom style="medium">
        <color rgb="FF969696"/>
      </bottom>
      <diagonal/>
    </border>
    <border>
      <left style="medium">
        <color auto="1"/>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style="medium">
        <color auto="1"/>
      </right>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bottom/>
      <diagonal/>
    </border>
    <border>
      <left style="thin">
        <color auto="1"/>
      </left>
      <right style="medium">
        <color auto="1"/>
      </right>
      <top/>
      <bottom/>
      <diagonal/>
    </border>
    <border>
      <left style="medium">
        <color auto="1"/>
      </left>
      <right style="thin">
        <color auto="1"/>
      </right>
      <top style="thin">
        <color auto="1"/>
      </top>
      <bottom style="medium">
        <color auto="1"/>
      </bottom>
      <diagonal/>
    </border>
    <border>
      <left/>
      <right style="thin">
        <color auto="1"/>
      </right>
      <top/>
      <bottom/>
      <diagonal/>
    </border>
    <border>
      <left style="thin">
        <color auto="1"/>
      </left>
      <right style="thin">
        <color auto="1"/>
      </right>
      <top style="medium">
        <color auto="1"/>
      </top>
      <bottom/>
      <diagonal/>
    </border>
    <border>
      <left/>
      <right style="medium">
        <color auto="1"/>
      </right>
      <top style="thin">
        <color auto="1"/>
      </top>
      <bottom/>
      <diagonal/>
    </border>
    <border>
      <left style="thin">
        <color auto="1"/>
      </left>
      <right style="thin">
        <color auto="1"/>
      </right>
      <top/>
      <bottom/>
      <diagonal/>
    </border>
    <border>
      <left/>
      <right style="medium">
        <color auto="1"/>
      </right>
      <top style="thin">
        <color auto="1"/>
      </top>
      <bottom style="medium">
        <color auto="1"/>
      </bottom>
      <diagonal/>
    </border>
    <border>
      <left/>
      <right/>
      <top style="thin">
        <color auto="1"/>
      </top>
      <bottom/>
      <diagonal/>
    </border>
    <border>
      <left/>
      <right/>
      <top/>
      <bottom style="thin">
        <color auto="1"/>
      </bottom>
      <diagonal/>
    </border>
    <border>
      <left/>
      <right style="thin">
        <color auto="1"/>
      </right>
      <top style="thin">
        <color auto="1"/>
      </top>
      <bottom/>
      <diagonal/>
    </border>
    <border>
      <left style="medium">
        <color auto="1"/>
      </left>
      <right style="hair">
        <color rgb="FF808080"/>
      </right>
      <top style="medium">
        <color auto="1"/>
      </top>
      <bottom/>
      <diagonal/>
    </border>
    <border>
      <left style="medium">
        <color auto="1"/>
      </left>
      <right style="hair">
        <color rgb="FF808080"/>
      </right>
      <top style="medium">
        <color auto="1"/>
      </top>
      <bottom style="medium">
        <color auto="1"/>
      </bottom>
      <diagonal/>
    </border>
    <border>
      <left/>
      <right style="hair">
        <color rgb="FF808080"/>
      </right>
      <top style="medium">
        <color auto="1"/>
      </top>
      <bottom style="medium">
        <color auto="1"/>
      </bottom>
      <diagonal/>
    </border>
    <border>
      <left style="medium">
        <color auto="1"/>
      </left>
      <right style="hair">
        <color rgb="FF808080"/>
      </right>
      <top/>
      <bottom style="hair">
        <color rgb="FF808080"/>
      </bottom>
      <diagonal/>
    </border>
    <border>
      <left style="medium">
        <color auto="1"/>
      </left>
      <right style="medium">
        <color auto="1"/>
      </right>
      <top style="medium">
        <color auto="1"/>
      </top>
      <bottom style="hair">
        <color rgb="FF808080"/>
      </bottom>
      <diagonal/>
    </border>
    <border>
      <left style="medium">
        <color auto="1"/>
      </left>
      <right style="hair">
        <color rgb="FF808080"/>
      </right>
      <top style="hair">
        <color rgb="FF808080"/>
      </top>
      <bottom style="hair">
        <color rgb="FF808080"/>
      </bottom>
      <diagonal/>
    </border>
    <border>
      <left style="medium">
        <color auto="1"/>
      </left>
      <right style="hair">
        <color rgb="FF808080"/>
      </right>
      <top style="hair">
        <color rgb="FF808080"/>
      </top>
      <bottom style="medium">
        <color auto="1"/>
      </bottom>
      <diagonal/>
    </border>
    <border>
      <left/>
      <right/>
      <top style="medium">
        <color auto="1"/>
      </top>
      <bottom style="medium">
        <color auto="1"/>
      </bottom>
      <diagonal/>
    </border>
    <border>
      <left style="medium">
        <color auto="1"/>
      </left>
      <right style="medium">
        <color auto="1"/>
      </right>
      <top/>
      <bottom style="dotted">
        <color auto="1"/>
      </bottom>
      <diagonal/>
    </border>
    <border>
      <left style="medium">
        <color auto="1"/>
      </left>
      <right/>
      <top style="medium">
        <color auto="1"/>
      </top>
      <bottom style="dotted">
        <color auto="1"/>
      </bottom>
      <diagonal/>
    </border>
    <border>
      <left style="medium">
        <color auto="1"/>
      </left>
      <right style="medium">
        <color auto="1"/>
      </right>
      <top style="medium">
        <color auto="1"/>
      </top>
      <bottom style="dotted">
        <color auto="1"/>
      </bottom>
      <diagonal/>
    </border>
    <border>
      <left/>
      <right style="medium">
        <color auto="1"/>
      </right>
      <top style="medium">
        <color auto="1"/>
      </top>
      <bottom style="dotted">
        <color auto="1"/>
      </bottom>
      <diagonal/>
    </border>
    <border>
      <left style="medium">
        <color auto="1"/>
      </left>
      <right style="medium">
        <color auto="1"/>
      </right>
      <top style="dotted">
        <color auto="1"/>
      </top>
      <bottom style="dotted">
        <color auto="1"/>
      </bottom>
      <diagonal/>
    </border>
    <border>
      <left style="medium">
        <color auto="1"/>
      </left>
      <right/>
      <top style="dotted">
        <color auto="1"/>
      </top>
      <bottom style="dotted">
        <color auto="1"/>
      </bottom>
      <diagonal/>
    </border>
    <border>
      <left/>
      <right style="medium">
        <color auto="1"/>
      </right>
      <top style="dotted">
        <color auto="1"/>
      </top>
      <bottom style="dotted">
        <color auto="1"/>
      </bottom>
      <diagonal/>
    </border>
    <border>
      <left style="medium">
        <color auto="1"/>
      </left>
      <right style="medium">
        <color auto="1"/>
      </right>
      <top style="dotted">
        <color auto="1"/>
      </top>
      <bottom style="medium">
        <color auto="1"/>
      </bottom>
      <diagonal/>
    </border>
    <border>
      <left style="medium">
        <color auto="1"/>
      </left>
      <right/>
      <top style="dotted">
        <color auto="1"/>
      </top>
      <bottom style="medium">
        <color auto="1"/>
      </bottom>
      <diagonal/>
    </border>
    <border>
      <left/>
      <right style="medium">
        <color auto="1"/>
      </right>
      <top style="dotted">
        <color auto="1"/>
      </top>
      <bottom style="medium">
        <color auto="1"/>
      </bottom>
      <diagonal/>
    </border>
    <border>
      <left/>
      <right style="thin">
        <color auto="1"/>
      </right>
      <top/>
      <bottom style="thin">
        <color auto="1"/>
      </bottom>
      <diagonal/>
    </border>
    <border>
      <left/>
      <right/>
      <top style="medium">
        <color rgb="FF808080"/>
      </top>
      <bottom style="medium">
        <color rgb="FF808080"/>
      </bottom>
      <diagonal/>
    </border>
    <border>
      <left/>
      <right style="medium">
        <color rgb="FF808080"/>
      </right>
      <top style="medium">
        <color rgb="FF808080"/>
      </top>
      <bottom style="medium">
        <color rgb="FF808080"/>
      </bottom>
      <diagonal/>
    </border>
    <border>
      <left/>
      <right/>
      <top style="medium">
        <color rgb="FF969696"/>
      </top>
      <bottom style="medium">
        <color rgb="FF969696"/>
      </bottom>
      <diagonal/>
    </border>
    <border>
      <left/>
      <right style="thin">
        <color auto="1"/>
      </right>
      <top style="medium">
        <color auto="1"/>
      </top>
      <bottom/>
      <diagonal/>
    </border>
    <border>
      <left/>
      <right/>
      <top style="medium">
        <color auto="1"/>
      </top>
      <bottom style="thin">
        <color auto="1"/>
      </bottom>
      <diagonal/>
    </border>
    <border>
      <left/>
      <right/>
      <top style="thin">
        <color auto="1"/>
      </top>
      <bottom style="thin">
        <color auto="1"/>
      </bottom>
      <diagonal/>
    </border>
    <border>
      <left style="medium">
        <color auto="1"/>
      </left>
      <right/>
      <top/>
      <bottom style="thin">
        <color auto="1"/>
      </bottom>
      <diagonal/>
    </border>
    <border>
      <left/>
      <right/>
      <top style="thin">
        <color auto="1"/>
      </top>
      <bottom style="medium">
        <color auto="1"/>
      </bottom>
      <diagonal/>
    </border>
    <border>
      <left/>
      <right style="thin">
        <color auto="1"/>
      </right>
      <top/>
      <bottom style="medium">
        <color auto="1"/>
      </bottom>
      <diagonal/>
    </border>
    <border>
      <left style="thin">
        <color auto="1"/>
      </left>
      <right/>
      <top/>
      <bottom style="thin">
        <color auto="1"/>
      </bottom>
      <diagonal/>
    </border>
    <border>
      <left/>
      <right style="medium">
        <color auto="1"/>
      </right>
      <top style="medium">
        <color auto="1"/>
      </top>
      <bottom style="thin">
        <color auto="1"/>
      </bottom>
      <diagonal/>
    </border>
    <border>
      <left/>
      <right style="hair">
        <color rgb="FF808080"/>
      </right>
      <top style="medium">
        <color auto="1"/>
      </top>
      <bottom/>
      <diagonal/>
    </border>
    <border>
      <left/>
      <right/>
      <top/>
      <bottom style="hair">
        <color rgb="FF808080"/>
      </bottom>
      <diagonal/>
    </border>
    <border>
      <left/>
      <right/>
      <top style="medium">
        <color auto="1"/>
      </top>
      <bottom style="hair">
        <color rgb="FF808080"/>
      </bottom>
      <diagonal/>
    </border>
    <border>
      <left/>
      <right style="medium">
        <color auto="1"/>
      </right>
      <top style="medium">
        <color auto="1"/>
      </top>
      <bottom style="hair">
        <color rgb="FF808080"/>
      </bottom>
      <diagonal/>
    </border>
    <border>
      <left/>
      <right/>
      <top style="hair">
        <color rgb="FF808080"/>
      </top>
      <bottom style="hair">
        <color rgb="FF808080"/>
      </bottom>
      <diagonal/>
    </border>
    <border>
      <left/>
      <right/>
      <top style="hair">
        <color rgb="FF808080"/>
      </top>
      <bottom style="medium">
        <color auto="1"/>
      </bottom>
      <diagonal/>
    </border>
    <border>
      <left/>
      <right/>
      <top style="medium">
        <color auto="1"/>
      </top>
      <bottom style="dotted">
        <color auto="1"/>
      </bottom>
      <diagonal/>
    </border>
    <border>
      <left/>
      <right/>
      <top style="dotted">
        <color auto="1"/>
      </top>
      <bottom style="dotted">
        <color auto="1"/>
      </bottom>
      <diagonal/>
    </border>
    <border>
      <left/>
      <right/>
      <top style="dotted">
        <color auto="1"/>
      </top>
      <bottom style="medium">
        <color auto="1"/>
      </bottom>
      <diagonal/>
    </border>
    <border>
      <left style="thin">
        <color auto="1"/>
      </left>
      <right/>
      <top style="medium">
        <color auto="1"/>
      </top>
      <bottom style="thin">
        <color auto="1"/>
      </bottom>
      <diagonal/>
    </border>
    <border>
      <left/>
      <right style="medium">
        <color indexed="64"/>
      </right>
      <top style="hair">
        <color rgb="FF808080"/>
      </top>
      <bottom style="hair">
        <color rgb="FF808080"/>
      </bottom>
      <diagonal/>
    </border>
    <border>
      <left/>
      <right style="medium">
        <color indexed="64"/>
      </right>
      <top style="hair">
        <color rgb="FF808080"/>
      </top>
      <bottom style="medium">
        <color indexed="64"/>
      </bottom>
      <diagonal/>
    </border>
    <border>
      <left/>
      <right style="medium">
        <color indexed="64"/>
      </right>
      <top/>
      <bottom style="hair">
        <color rgb="FF808080"/>
      </bottom>
      <diagonal/>
    </border>
    <border>
      <left style="medium">
        <color auto="1"/>
      </left>
      <right/>
      <top style="medium">
        <color auto="1"/>
      </top>
      <bottom style="thin">
        <color auto="1"/>
      </bottom>
      <diagonal/>
    </border>
    <border>
      <left style="thin">
        <color auto="1"/>
      </left>
      <right/>
      <top style="medium">
        <color auto="1"/>
      </top>
      <bottom style="medium">
        <color auto="1"/>
      </bottom>
      <diagonal/>
    </border>
    <border>
      <left/>
      <right style="thin">
        <color auto="1"/>
      </right>
      <top style="thin">
        <color auto="1"/>
      </top>
      <bottom style="medium">
        <color indexed="64"/>
      </bottom>
      <diagonal/>
    </border>
    <border>
      <left style="thin">
        <color auto="1"/>
      </left>
      <right/>
      <top style="thin">
        <color auto="1"/>
      </top>
      <bottom style="medium">
        <color auto="1"/>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medium">
        <color auto="1"/>
      </left>
      <right/>
      <top style="thin">
        <color auto="1"/>
      </top>
      <bottom/>
      <diagonal/>
    </border>
    <border>
      <left style="medium">
        <color indexed="64"/>
      </left>
      <right style="medium">
        <color auto="1"/>
      </right>
      <top style="thin">
        <color auto="1"/>
      </top>
      <bottom/>
      <diagonal/>
    </border>
    <border>
      <left style="medium">
        <color indexed="64"/>
      </left>
      <right style="thin">
        <color auto="1"/>
      </right>
      <top/>
      <bottom/>
      <diagonal/>
    </border>
  </borders>
  <cellStyleXfs count="2">
    <xf numFmtId="0" fontId="0" fillId="0" borderId="0"/>
    <xf numFmtId="0" fontId="1" fillId="0" borderId="0"/>
  </cellStyleXfs>
  <cellXfs count="519">
    <xf numFmtId="0" fontId="0" fillId="0" borderId="0" xfId="0"/>
    <xf numFmtId="0" fontId="2" fillId="2" borderId="0" xfId="0" applyFont="1" applyFill="1" applyAlignment="1">
      <alignment vertical="center"/>
    </xf>
    <xf numFmtId="0" fontId="3" fillId="0" borderId="0" xfId="0" applyFont="1" applyAlignment="1">
      <alignment vertical="center"/>
    </xf>
    <xf numFmtId="0" fontId="2" fillId="0" borderId="1" xfId="0" applyFont="1" applyBorder="1" applyAlignment="1">
      <alignment vertical="center"/>
    </xf>
    <xf numFmtId="0" fontId="2" fillId="0" borderId="0" xfId="0" applyFont="1" applyAlignment="1">
      <alignment vertical="center"/>
    </xf>
    <xf numFmtId="0" fontId="4" fillId="3" borderId="0" xfId="0" applyFont="1" applyFill="1" applyAlignment="1">
      <alignment horizontal="center" vertical="center"/>
    </xf>
    <xf numFmtId="0" fontId="6" fillId="0" borderId="0" xfId="0" applyFont="1" applyAlignment="1">
      <alignment horizontal="center" vertical="center"/>
    </xf>
    <xf numFmtId="0" fontId="7" fillId="0" borderId="0" xfId="0" applyFont="1" applyAlignment="1">
      <alignment vertical="center"/>
    </xf>
    <xf numFmtId="0" fontId="3" fillId="0" borderId="0" xfId="0" applyFont="1" applyAlignment="1">
      <alignment horizontal="center" vertical="center"/>
    </xf>
    <xf numFmtId="0" fontId="8" fillId="0" borderId="0" xfId="0" applyFont="1" applyAlignment="1">
      <alignment horizontal="center" vertical="center"/>
    </xf>
    <xf numFmtId="0" fontId="2" fillId="0" borderId="3" xfId="0" applyFont="1" applyBorder="1" applyAlignment="1">
      <alignment vertical="center"/>
    </xf>
    <xf numFmtId="0" fontId="2" fillId="0" borderId="4" xfId="0" applyFont="1" applyBorder="1" applyAlignment="1">
      <alignment vertical="center"/>
    </xf>
    <xf numFmtId="0" fontId="9" fillId="0" borderId="0" xfId="0" applyFont="1" applyAlignment="1">
      <alignment horizontal="center" vertical="center"/>
    </xf>
    <xf numFmtId="0" fontId="10" fillId="0" borderId="0" xfId="0" applyFont="1" applyAlignment="1">
      <alignment vertical="center"/>
    </xf>
    <xf numFmtId="0" fontId="2" fillId="0" borderId="5" xfId="0" applyFont="1" applyBorder="1" applyAlignment="1">
      <alignment vertical="center"/>
    </xf>
    <xf numFmtId="0" fontId="2" fillId="0" borderId="9" xfId="0" applyFont="1" applyBorder="1" applyAlignment="1">
      <alignment vertical="center"/>
    </xf>
    <xf numFmtId="0" fontId="12" fillId="0" borderId="0" xfId="0" applyFont="1" applyAlignment="1">
      <alignment horizontal="center" vertical="center"/>
    </xf>
    <xf numFmtId="0" fontId="12" fillId="0" borderId="0" xfId="0" applyFont="1" applyAlignment="1">
      <alignment vertical="center"/>
    </xf>
    <xf numFmtId="165" fontId="2" fillId="0" borderId="0" xfId="0" applyNumberFormat="1" applyFont="1" applyAlignment="1">
      <alignment vertical="center"/>
    </xf>
    <xf numFmtId="0" fontId="13" fillId="4" borderId="0" xfId="0" applyFont="1" applyFill="1" applyAlignment="1">
      <alignment horizontal="center" vertical="center"/>
    </xf>
    <xf numFmtId="49" fontId="16" fillId="0" borderId="0" xfId="0" applyNumberFormat="1" applyFont="1" applyAlignment="1">
      <alignment horizontal="center"/>
    </xf>
    <xf numFmtId="0" fontId="17" fillId="0" borderId="0" xfId="0" applyFont="1" applyAlignment="1">
      <alignment horizontal="center" vertical="center"/>
    </xf>
    <xf numFmtId="0" fontId="2" fillId="0" borderId="14" xfId="0" applyFont="1" applyBorder="1" applyAlignment="1">
      <alignment vertical="center"/>
    </xf>
    <xf numFmtId="0" fontId="2" fillId="0" borderId="15" xfId="0" applyFont="1" applyBorder="1" applyAlignment="1">
      <alignment vertical="center"/>
    </xf>
    <xf numFmtId="0" fontId="2" fillId="0" borderId="0" xfId="0" applyFont="1" applyAlignment="1" applyProtection="1">
      <alignment vertical="center"/>
      <protection locked="0"/>
    </xf>
    <xf numFmtId="0" fontId="6"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0" fontId="2" fillId="0" borderId="16" xfId="0" applyFont="1" applyBorder="1" applyAlignment="1">
      <alignment vertical="center"/>
    </xf>
    <xf numFmtId="0" fontId="2" fillId="0" borderId="17" xfId="0" applyFont="1" applyBorder="1" applyAlignment="1" applyProtection="1">
      <alignment vertical="center"/>
      <protection locked="0"/>
    </xf>
    <xf numFmtId="0" fontId="4" fillId="0" borderId="17" xfId="0" applyFont="1" applyBorder="1" applyAlignment="1" applyProtection="1">
      <alignment vertical="center"/>
      <protection locked="0"/>
    </xf>
    <xf numFmtId="0" fontId="4" fillId="0" borderId="17" xfId="0" applyFont="1" applyBorder="1" applyAlignment="1">
      <alignment vertical="center"/>
    </xf>
    <xf numFmtId="0" fontId="18" fillId="3" borderId="0" xfId="0" applyFont="1" applyFill="1" applyAlignment="1">
      <alignment horizontal="center"/>
    </xf>
    <xf numFmtId="0" fontId="20" fillId="0" borderId="0" xfId="0" applyFont="1" applyAlignment="1" applyProtection="1">
      <alignment horizontal="center" vertical="center" wrapText="1"/>
      <protection locked="0"/>
    </xf>
    <xf numFmtId="0" fontId="10" fillId="0" borderId="17" xfId="0" applyFont="1" applyBorder="1" applyAlignment="1">
      <alignment vertical="center"/>
    </xf>
    <xf numFmtId="0" fontId="21" fillId="0" borderId="17" xfId="0" applyFont="1" applyBorder="1" applyAlignment="1">
      <alignment horizontal="left" vertical="center" wrapText="1" indent="2" readingOrder="1"/>
    </xf>
    <xf numFmtId="0" fontId="21" fillId="7" borderId="17" xfId="0" applyFont="1" applyFill="1" applyBorder="1" applyAlignment="1">
      <alignment horizontal="left" vertical="center" wrapText="1" indent="2" readingOrder="1"/>
    </xf>
    <xf numFmtId="0" fontId="21" fillId="0" borderId="17" xfId="0" applyFont="1" applyBorder="1" applyAlignment="1">
      <alignment horizontal="center" vertical="center" wrapText="1"/>
    </xf>
    <xf numFmtId="0" fontId="22" fillId="0" borderId="0" xfId="0" applyFont="1"/>
    <xf numFmtId="0" fontId="2" fillId="0" borderId="5" xfId="0" applyFont="1" applyBorder="1" applyAlignment="1" applyProtection="1">
      <alignment vertical="center"/>
      <protection locked="0"/>
    </xf>
    <xf numFmtId="0" fontId="20" fillId="0" borderId="0" xfId="0" applyFont="1" applyAlignment="1" applyProtection="1">
      <alignment vertical="center" wrapText="1"/>
      <protection locked="0"/>
    </xf>
    <xf numFmtId="0" fontId="20" fillId="0" borderId="9" xfId="0" applyFont="1" applyBorder="1" applyAlignment="1" applyProtection="1">
      <alignment vertical="center" wrapText="1"/>
      <protection locked="0"/>
    </xf>
    <xf numFmtId="0" fontId="4" fillId="2" borderId="18" xfId="0" applyFont="1" applyFill="1" applyBorder="1" applyAlignment="1">
      <alignment horizontal="center" vertical="center"/>
    </xf>
    <xf numFmtId="0" fontId="12" fillId="2" borderId="19" xfId="0" applyFont="1" applyFill="1" applyBorder="1" applyAlignment="1">
      <alignment horizontal="center" vertical="center"/>
    </xf>
    <xf numFmtId="0" fontId="12" fillId="0" borderId="0" xfId="0" applyFont="1" applyAlignment="1" applyProtection="1">
      <alignment horizontal="center" vertical="center" wrapText="1"/>
      <protection locked="0"/>
    </xf>
    <xf numFmtId="0" fontId="12" fillId="0" borderId="0" xfId="0" applyFont="1" applyAlignment="1" applyProtection="1">
      <alignment vertical="center"/>
      <protection locked="0"/>
    </xf>
    <xf numFmtId="0" fontId="23" fillId="0" borderId="17" xfId="0" applyFont="1" applyBorder="1" applyAlignment="1">
      <alignment horizontal="center" vertical="center" wrapText="1"/>
    </xf>
    <xf numFmtId="0" fontId="12" fillId="0" borderId="21" xfId="0" applyFont="1" applyBorder="1" applyAlignment="1" applyProtection="1">
      <alignment horizontal="center" vertical="center"/>
      <protection locked="0"/>
    </xf>
    <xf numFmtId="0" fontId="12" fillId="0" borderId="22" xfId="0" applyFont="1" applyBorder="1" applyAlignment="1" applyProtection="1">
      <alignment horizontal="center" vertical="center"/>
      <protection locked="0"/>
    </xf>
    <xf numFmtId="166" fontId="2" fillId="0" borderId="0" xfId="0" applyNumberFormat="1" applyFont="1" applyAlignment="1" applyProtection="1">
      <alignment horizontal="center" vertical="center"/>
      <protection locked="0"/>
    </xf>
    <xf numFmtId="0" fontId="12" fillId="0" borderId="25" xfId="0" applyFont="1" applyBorder="1" applyAlignment="1" applyProtection="1">
      <alignment horizontal="center" vertical="center"/>
      <protection locked="0"/>
    </xf>
    <xf numFmtId="0" fontId="12" fillId="0" borderId="26" xfId="0" applyFont="1" applyBorder="1" applyAlignment="1" applyProtection="1">
      <alignment horizontal="center" vertical="center"/>
      <protection locked="0"/>
    </xf>
    <xf numFmtId="9" fontId="12" fillId="0" borderId="17" xfId="0" applyNumberFormat="1" applyFont="1" applyBorder="1" applyAlignment="1" applyProtection="1">
      <alignment horizontal="center" vertical="center"/>
      <protection locked="0"/>
    </xf>
    <xf numFmtId="0" fontId="22" fillId="0" borderId="0" xfId="0" applyFont="1" applyAlignment="1" applyProtection="1">
      <alignment vertical="center"/>
      <protection locked="0"/>
    </xf>
    <xf numFmtId="0" fontId="21" fillId="8" borderId="17" xfId="0" applyFont="1" applyFill="1" applyBorder="1" applyAlignment="1">
      <alignment horizontal="left" vertical="center" wrapText="1" indent="2" readingOrder="1"/>
    </xf>
    <xf numFmtId="9" fontId="12" fillId="9" borderId="17" xfId="0" applyNumberFormat="1" applyFont="1" applyFill="1" applyBorder="1" applyAlignment="1">
      <alignment horizontal="center" vertical="center"/>
    </xf>
    <xf numFmtId="9" fontId="25" fillId="10" borderId="2" xfId="0" applyNumberFormat="1" applyFont="1" applyFill="1" applyBorder="1" applyAlignment="1">
      <alignment horizontal="center" vertical="center"/>
    </xf>
    <xf numFmtId="0" fontId="21" fillId="11" borderId="17" xfId="0" applyFont="1" applyFill="1" applyBorder="1" applyAlignment="1">
      <alignment horizontal="right" vertical="center" wrapText="1" indent="2" readingOrder="1"/>
    </xf>
    <xf numFmtId="0" fontId="26" fillId="0" borderId="0" xfId="0" applyFont="1" applyAlignment="1">
      <alignment vertical="center"/>
    </xf>
    <xf numFmtId="0" fontId="2" fillId="0" borderId="9" xfId="0" applyFont="1" applyBorder="1" applyAlignment="1" applyProtection="1">
      <alignment vertical="center"/>
      <protection locked="0"/>
    </xf>
    <xf numFmtId="0" fontId="21" fillId="13" borderId="17" xfId="0" applyFont="1" applyFill="1" applyBorder="1" applyAlignment="1">
      <alignment horizontal="center" vertical="center" wrapText="1"/>
    </xf>
    <xf numFmtId="0" fontId="28" fillId="0" borderId="23" xfId="0" applyFont="1" applyBorder="1" applyAlignment="1">
      <alignment horizontal="center"/>
    </xf>
    <xf numFmtId="0" fontId="12" fillId="0" borderId="0" xfId="0" applyFont="1" applyAlignment="1" applyProtection="1">
      <alignment horizontal="center" vertical="center"/>
      <protection locked="0"/>
    </xf>
    <xf numFmtId="0" fontId="12" fillId="0" borderId="17" xfId="0" applyFont="1" applyBorder="1" applyAlignment="1">
      <alignment horizontal="center" vertical="center"/>
    </xf>
    <xf numFmtId="0" fontId="2" fillId="0" borderId="17" xfId="0" applyFont="1" applyBorder="1" applyProtection="1">
      <protection locked="0"/>
    </xf>
    <xf numFmtId="0" fontId="31" fillId="0" borderId="0" xfId="0" applyFont="1" applyAlignment="1">
      <alignment vertical="center"/>
    </xf>
    <xf numFmtId="0" fontId="2" fillId="0" borderId="5" xfId="0" applyFont="1" applyBorder="1" applyProtection="1">
      <protection locked="0"/>
    </xf>
    <xf numFmtId="0" fontId="2" fillId="0" borderId="0" xfId="0" applyFont="1" applyProtection="1">
      <protection locked="0"/>
    </xf>
    <xf numFmtId="0" fontId="2" fillId="0" borderId="9" xfId="0" applyFont="1" applyBorder="1" applyProtection="1">
      <protection locked="0"/>
    </xf>
    <xf numFmtId="0" fontId="32" fillId="0" borderId="17" xfId="0" applyFont="1" applyBorder="1" applyAlignment="1">
      <alignment horizontal="left" vertical="center" wrapText="1" indent="2" readingOrder="1"/>
    </xf>
    <xf numFmtId="0" fontId="21" fillId="0" borderId="17" xfId="0" applyFont="1" applyBorder="1" applyAlignment="1">
      <alignment horizontal="center" vertical="center" readingOrder="1"/>
    </xf>
    <xf numFmtId="0" fontId="32" fillId="0" borderId="17" xfId="0" applyFont="1" applyBorder="1" applyAlignment="1">
      <alignment horizontal="center" vertical="center" wrapText="1"/>
    </xf>
    <xf numFmtId="0" fontId="23" fillId="0" borderId="17" xfId="0" applyFont="1" applyBorder="1" applyAlignment="1">
      <alignment horizontal="center" vertical="center"/>
    </xf>
    <xf numFmtId="0" fontId="4" fillId="2" borderId="30" xfId="0" applyFont="1" applyFill="1" applyBorder="1" applyAlignment="1">
      <alignment horizontal="center" vertical="center" wrapText="1"/>
    </xf>
    <xf numFmtId="0" fontId="2" fillId="0" borderId="0" xfId="0" applyFont="1" applyAlignment="1" applyProtection="1">
      <alignment horizontal="left" vertical="center"/>
      <protection locked="0"/>
    </xf>
    <xf numFmtId="0" fontId="12" fillId="3" borderId="31" xfId="0" applyFont="1" applyFill="1" applyBorder="1" applyAlignment="1" applyProtection="1">
      <alignment horizontal="center" vertical="center"/>
      <protection locked="0"/>
    </xf>
    <xf numFmtId="0" fontId="10" fillId="3" borderId="17"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10" fillId="0" borderId="17" xfId="0" applyFont="1" applyBorder="1" applyAlignment="1">
      <alignment horizontal="center" vertical="center" wrapText="1"/>
    </xf>
    <xf numFmtId="0" fontId="12" fillId="0" borderId="31" xfId="0" applyFont="1" applyBorder="1" applyAlignment="1" applyProtection="1">
      <alignment horizontal="center" vertical="center"/>
      <protection locked="0"/>
    </xf>
    <xf numFmtId="0" fontId="2" fillId="0" borderId="28" xfId="0" applyFont="1" applyBorder="1" applyAlignment="1">
      <alignment horizontal="center" vertical="center" wrapText="1"/>
    </xf>
    <xf numFmtId="9" fontId="12" fillId="0" borderId="0" xfId="0" applyNumberFormat="1" applyFont="1" applyAlignment="1" applyProtection="1">
      <alignment horizontal="center" vertical="center" wrapText="1"/>
      <protection locked="0"/>
    </xf>
    <xf numFmtId="1" fontId="12" fillId="0" borderId="0" xfId="0" applyNumberFormat="1" applyFont="1" applyAlignment="1" applyProtection="1">
      <alignment horizontal="center" vertical="center"/>
      <protection locked="0"/>
    </xf>
    <xf numFmtId="0" fontId="23" fillId="15" borderId="17" xfId="0" applyFont="1" applyFill="1" applyBorder="1" applyAlignment="1">
      <alignment horizontal="center" vertical="center"/>
    </xf>
    <xf numFmtId="0" fontId="10" fillId="3" borderId="32" xfId="0" applyFont="1" applyFill="1" applyBorder="1" applyAlignment="1">
      <alignment horizontal="center" vertical="center" wrapText="1"/>
    </xf>
    <xf numFmtId="0" fontId="2" fillId="3" borderId="33" xfId="0" applyFont="1" applyFill="1" applyBorder="1" applyAlignment="1">
      <alignment horizontal="center" vertical="center" wrapText="1"/>
    </xf>
    <xf numFmtId="0" fontId="12" fillId="2" borderId="34" xfId="0" applyFont="1" applyFill="1" applyBorder="1" applyAlignment="1" applyProtection="1">
      <alignment horizontal="center" vertical="center"/>
      <protection locked="0"/>
    </xf>
    <xf numFmtId="0" fontId="0" fillId="0" borderId="17" xfId="0" applyBorder="1"/>
    <xf numFmtId="0" fontId="12" fillId="0" borderId="3" xfId="0" applyFont="1" applyBorder="1" applyAlignment="1" applyProtection="1">
      <alignment horizontal="center" vertical="center"/>
      <protection locked="0"/>
    </xf>
    <xf numFmtId="0" fontId="12" fillId="0" borderId="16" xfId="0" applyFont="1" applyBorder="1" applyAlignment="1" applyProtection="1">
      <alignment horizontal="center" vertical="center"/>
      <protection locked="0"/>
    </xf>
    <xf numFmtId="0" fontId="2" fillId="0" borderId="16" xfId="0" applyFont="1" applyBorder="1" applyAlignment="1" applyProtection="1">
      <alignment horizontal="center" vertical="center"/>
      <protection locked="0"/>
    </xf>
    <xf numFmtId="9" fontId="12" fillId="0" borderId="16" xfId="0" applyNumberFormat="1" applyFont="1" applyBorder="1" applyAlignment="1" applyProtection="1">
      <alignment horizontal="center" vertical="center"/>
      <protection locked="0"/>
    </xf>
    <xf numFmtId="167" fontId="12" fillId="0" borderId="9" xfId="0" applyNumberFormat="1" applyFont="1" applyBorder="1" applyAlignment="1" applyProtection="1">
      <alignment horizontal="center" vertical="center"/>
      <protection locked="0"/>
    </xf>
    <xf numFmtId="1" fontId="12" fillId="4" borderId="0" xfId="0" applyNumberFormat="1" applyFont="1" applyFill="1" applyAlignment="1" applyProtection="1">
      <alignment horizontal="center" vertical="center"/>
      <protection locked="0"/>
    </xf>
    <xf numFmtId="167" fontId="12" fillId="0" borderId="0" xfId="0" applyNumberFormat="1" applyFont="1" applyAlignment="1" applyProtection="1">
      <alignment horizontal="center" vertical="center"/>
      <protection locked="0"/>
    </xf>
    <xf numFmtId="0" fontId="4" fillId="2" borderId="35" xfId="0" applyFont="1" applyFill="1" applyBorder="1" applyAlignment="1">
      <alignment horizontal="center" vertical="center"/>
    </xf>
    <xf numFmtId="166" fontId="2" fillId="0" borderId="35" xfId="0" applyNumberFormat="1" applyFont="1" applyBorder="1" applyAlignment="1" applyProtection="1">
      <alignment horizontal="center" vertical="center"/>
      <protection locked="0"/>
    </xf>
    <xf numFmtId="0" fontId="4" fillId="2" borderId="2" xfId="0" applyFont="1" applyFill="1" applyBorder="1" applyAlignment="1">
      <alignment horizontal="center" vertical="center"/>
    </xf>
    <xf numFmtId="0" fontId="2" fillId="0" borderId="36" xfId="0" applyFont="1" applyBorder="1" applyAlignment="1" applyProtection="1">
      <alignment horizontal="center" vertical="center"/>
      <protection locked="0"/>
    </xf>
    <xf numFmtId="0" fontId="2" fillId="0" borderId="37" xfId="0" applyFont="1" applyBorder="1" applyAlignment="1" applyProtection="1">
      <alignment horizontal="center" vertical="center"/>
      <protection locked="0"/>
    </xf>
    <xf numFmtId="166" fontId="2" fillId="0" borderId="2" xfId="0" applyNumberFormat="1" applyFont="1" applyBorder="1" applyAlignment="1" applyProtection="1">
      <alignment horizontal="center" vertical="center"/>
      <protection locked="0"/>
    </xf>
    <xf numFmtId="0" fontId="7" fillId="0" borderId="0" xfId="0" applyFont="1" applyAlignment="1" applyProtection="1">
      <alignment vertical="center"/>
      <protection locked="0"/>
    </xf>
    <xf numFmtId="0" fontId="34" fillId="0" borderId="0" xfId="0" applyFont="1" applyAlignment="1" applyProtection="1">
      <alignment vertical="center"/>
      <protection locked="0"/>
    </xf>
    <xf numFmtId="168" fontId="2" fillId="0" borderId="0" xfId="0" applyNumberFormat="1" applyFont="1" applyAlignment="1" applyProtection="1">
      <alignment vertical="center"/>
      <protection locked="0"/>
    </xf>
    <xf numFmtId="0" fontId="12" fillId="2" borderId="25" xfId="0" applyFont="1" applyFill="1" applyBorder="1" applyAlignment="1" applyProtection="1">
      <alignment horizontal="center" vertical="center"/>
      <protection locked="0"/>
    </xf>
    <xf numFmtId="0" fontId="2" fillId="0" borderId="41" xfId="0" applyFont="1" applyBorder="1" applyAlignment="1" applyProtection="1">
      <alignment vertical="center"/>
      <protection locked="0"/>
    </xf>
    <xf numFmtId="0" fontId="12" fillId="2" borderId="42" xfId="0" applyFont="1" applyFill="1" applyBorder="1" applyAlignment="1" applyProtection="1">
      <alignment horizontal="center" vertical="center"/>
      <protection locked="0"/>
    </xf>
    <xf numFmtId="9" fontId="12" fillId="2" borderId="17" xfId="0" applyNumberFormat="1" applyFont="1" applyFill="1" applyBorder="1" applyAlignment="1" applyProtection="1">
      <alignment horizontal="center" vertical="center"/>
      <protection locked="0"/>
    </xf>
    <xf numFmtId="0" fontId="2" fillId="0" borderId="43" xfId="0" applyFont="1" applyBorder="1" applyAlignment="1" applyProtection="1">
      <alignment vertical="center"/>
      <protection locked="0"/>
    </xf>
    <xf numFmtId="9" fontId="36" fillId="5" borderId="25" xfId="0" applyNumberFormat="1" applyFont="1" applyFill="1" applyBorder="1" applyAlignment="1">
      <alignment horizontal="center" vertical="center"/>
    </xf>
    <xf numFmtId="10" fontId="2" fillId="0" borderId="0" xfId="0" applyNumberFormat="1" applyFont="1" applyAlignment="1" applyProtection="1">
      <alignment vertical="center"/>
      <protection locked="0"/>
    </xf>
    <xf numFmtId="49" fontId="2" fillId="0" borderId="17" xfId="0" applyNumberFormat="1" applyFont="1" applyBorder="1" applyAlignment="1" applyProtection="1">
      <alignment horizontal="center" vertical="center"/>
      <protection locked="0"/>
    </xf>
    <xf numFmtId="9" fontId="30" fillId="2" borderId="47" xfId="0" applyNumberFormat="1" applyFont="1" applyFill="1" applyBorder="1" applyAlignment="1" applyProtection="1">
      <alignment horizontal="center" vertical="center"/>
      <protection locked="0"/>
    </xf>
    <xf numFmtId="0" fontId="2" fillId="0" borderId="48" xfId="0" applyFont="1" applyBorder="1" applyAlignment="1" applyProtection="1">
      <alignment horizontal="center" vertical="center"/>
      <protection locked="0"/>
    </xf>
    <xf numFmtId="0" fontId="4" fillId="16" borderId="37" xfId="0" applyFont="1" applyFill="1" applyBorder="1" applyAlignment="1">
      <alignment horizontal="center" vertical="center"/>
    </xf>
    <xf numFmtId="0" fontId="2" fillId="0" borderId="17" xfId="0" applyFont="1" applyBorder="1" applyAlignment="1">
      <alignment vertical="center" wrapText="1"/>
    </xf>
    <xf numFmtId="1" fontId="12" fillId="0" borderId="17" xfId="0" applyNumberFormat="1" applyFont="1" applyBorder="1" applyAlignment="1" applyProtection="1">
      <alignment horizontal="center" vertical="center"/>
      <protection locked="0"/>
    </xf>
    <xf numFmtId="0" fontId="2" fillId="0" borderId="40" xfId="0" applyFont="1" applyBorder="1" applyAlignment="1" applyProtection="1">
      <alignment vertical="center"/>
      <protection locked="0"/>
    </xf>
    <xf numFmtId="1" fontId="2" fillId="0" borderId="43" xfId="0" applyNumberFormat="1" applyFont="1" applyBorder="1" applyAlignment="1">
      <alignment horizontal="center" vertical="center" wrapText="1"/>
    </xf>
    <xf numFmtId="0" fontId="2" fillId="0" borderId="50" xfId="0" applyFont="1" applyBorder="1" applyAlignment="1" applyProtection="1">
      <alignment vertical="center"/>
      <protection locked="0"/>
    </xf>
    <xf numFmtId="0" fontId="37" fillId="0" borderId="0" xfId="0" applyFont="1" applyAlignment="1" applyProtection="1">
      <alignment vertical="center"/>
      <protection locked="0"/>
    </xf>
    <xf numFmtId="169" fontId="36" fillId="17" borderId="43" xfId="0" applyNumberFormat="1" applyFont="1" applyFill="1" applyBorder="1" applyAlignment="1">
      <alignment horizontal="center" vertical="center"/>
    </xf>
    <xf numFmtId="9" fontId="25" fillId="17" borderId="23" xfId="0" applyNumberFormat="1" applyFont="1" applyFill="1" applyBorder="1" applyAlignment="1">
      <alignment horizontal="right"/>
    </xf>
    <xf numFmtId="0" fontId="15" fillId="2" borderId="53" xfId="0" applyFont="1" applyFill="1" applyBorder="1" applyAlignment="1">
      <alignment horizontal="right" vertical="center"/>
    </xf>
    <xf numFmtId="49" fontId="25" fillId="17" borderId="39" xfId="0" applyNumberFormat="1" applyFont="1" applyFill="1" applyBorder="1" applyAlignment="1">
      <alignment horizontal="right"/>
    </xf>
    <xf numFmtId="0" fontId="12" fillId="0" borderId="9" xfId="0" applyFont="1" applyBorder="1" applyAlignment="1" applyProtection="1">
      <alignment vertical="center"/>
      <protection locked="0"/>
    </xf>
    <xf numFmtId="0" fontId="12" fillId="0" borderId="1" xfId="0" applyFont="1" applyBorder="1" applyAlignment="1" applyProtection="1">
      <alignment vertical="center"/>
      <protection locked="0"/>
    </xf>
    <xf numFmtId="0" fontId="12" fillId="0" borderId="15" xfId="0" applyFont="1" applyBorder="1" applyAlignment="1" applyProtection="1">
      <alignment vertical="center"/>
      <protection locked="0"/>
    </xf>
    <xf numFmtId="0" fontId="30" fillId="0" borderId="0" xfId="0" applyFont="1" applyAlignment="1">
      <alignment horizontal="left" vertical="center"/>
    </xf>
    <xf numFmtId="0" fontId="12" fillId="0" borderId="0" xfId="0" applyFont="1" applyAlignment="1">
      <alignment horizontal="center" vertical="center" wrapText="1"/>
    </xf>
    <xf numFmtId="0" fontId="12" fillId="0" borderId="0" xfId="0" applyFont="1" applyAlignment="1">
      <alignment horizontal="left" vertical="center" wrapText="1"/>
    </xf>
    <xf numFmtId="0" fontId="38" fillId="0" borderId="0" xfId="0" applyFont="1"/>
    <xf numFmtId="0" fontId="39" fillId="0" borderId="0" xfId="0" applyFont="1" applyAlignment="1" applyProtection="1">
      <alignment horizontal="right" vertical="center"/>
      <protection locked="0"/>
    </xf>
    <xf numFmtId="170" fontId="36" fillId="0" borderId="0" xfId="0" applyNumberFormat="1" applyFont="1" applyAlignment="1">
      <alignment horizontal="center" vertical="center"/>
    </xf>
    <xf numFmtId="49" fontId="0" fillId="0" borderId="0" xfId="0" applyNumberFormat="1"/>
    <xf numFmtId="0" fontId="0" fillId="18" borderId="0" xfId="0" applyFill="1" applyAlignment="1">
      <alignment horizontal="center"/>
    </xf>
    <xf numFmtId="9" fontId="0" fillId="18" borderId="0" xfId="0" applyNumberFormat="1" applyFill="1"/>
    <xf numFmtId="49" fontId="0" fillId="18" borderId="0" xfId="0" applyNumberFormat="1" applyFill="1"/>
    <xf numFmtId="0" fontId="0" fillId="18" borderId="0" xfId="0" applyFill="1"/>
    <xf numFmtId="0" fontId="0" fillId="0" borderId="0" xfId="0" applyAlignment="1">
      <alignment horizontal="center" vertical="center"/>
    </xf>
    <xf numFmtId="9" fontId="0" fillId="0" borderId="0" xfId="0" applyNumberFormat="1"/>
    <xf numFmtId="0" fontId="0" fillId="0" borderId="0" xfId="0" applyAlignment="1">
      <alignment horizontal="center"/>
    </xf>
    <xf numFmtId="0" fontId="40" fillId="0" borderId="0" xfId="0" applyFont="1" applyAlignment="1">
      <alignment horizontal="center" vertical="center"/>
    </xf>
    <xf numFmtId="49" fontId="40" fillId="0" borderId="0" xfId="0" applyNumberFormat="1" applyFont="1"/>
    <xf numFmtId="0" fontId="40" fillId="0" borderId="0" xfId="0" applyFont="1"/>
    <xf numFmtId="0" fontId="47" fillId="0" borderId="0" xfId="0" applyFont="1"/>
    <xf numFmtId="0" fontId="47" fillId="0" borderId="0" xfId="0" applyFont="1" applyAlignment="1">
      <alignment horizontal="center"/>
    </xf>
    <xf numFmtId="0" fontId="49" fillId="4" borderId="2" xfId="0" applyFont="1" applyFill="1" applyBorder="1" applyAlignment="1">
      <alignment horizontal="center" vertical="center"/>
    </xf>
    <xf numFmtId="0" fontId="49" fillId="4" borderId="64" xfId="0" applyFont="1" applyFill="1" applyBorder="1" applyAlignment="1">
      <alignment horizontal="center" vertical="center"/>
    </xf>
    <xf numFmtId="0" fontId="49" fillId="4" borderId="68" xfId="0" applyFont="1" applyFill="1" applyBorder="1" applyAlignment="1">
      <alignment horizontal="center" vertical="center"/>
    </xf>
    <xf numFmtId="0" fontId="49" fillId="4" borderId="71" xfId="0" applyFont="1" applyFill="1" applyBorder="1" applyAlignment="1">
      <alignment horizontal="center" vertical="center"/>
    </xf>
    <xf numFmtId="0" fontId="50" fillId="0" borderId="0" xfId="0" applyFont="1" applyAlignment="1">
      <alignment vertical="top" wrapText="1"/>
    </xf>
    <xf numFmtId="0" fontId="50" fillId="0" borderId="0" xfId="0" applyFont="1"/>
    <xf numFmtId="0" fontId="6" fillId="19" borderId="29" xfId="0" applyFont="1" applyFill="1" applyBorder="1" applyAlignment="1">
      <alignment vertical="top" wrapText="1"/>
    </xf>
    <xf numFmtId="0" fontId="21" fillId="7" borderId="17" xfId="0" applyFont="1" applyFill="1" applyBorder="1" applyAlignment="1">
      <alignment horizontal="center" vertical="center" wrapText="1" readingOrder="1"/>
    </xf>
    <xf numFmtId="0" fontId="55" fillId="0" borderId="0" xfId="0" applyFont="1" applyAlignment="1">
      <alignment horizontal="left" vertical="center" indent="2"/>
    </xf>
    <xf numFmtId="0" fontId="55" fillId="0" borderId="0" xfId="0" applyFont="1" applyAlignment="1">
      <alignment horizontal="center" vertical="center" wrapText="1"/>
    </xf>
    <xf numFmtId="0" fontId="55" fillId="0" borderId="0" xfId="0" applyFont="1" applyAlignment="1">
      <alignment horizontal="left" vertical="center" indent="1"/>
    </xf>
    <xf numFmtId="0" fontId="55" fillId="0" borderId="0" xfId="0" applyFont="1" applyAlignment="1">
      <alignment vertical="center"/>
    </xf>
    <xf numFmtId="0" fontId="48" fillId="6" borderId="0" xfId="0" applyFont="1" applyFill="1" applyAlignment="1">
      <alignment horizontal="center" vertical="center"/>
    </xf>
    <xf numFmtId="0" fontId="4" fillId="2" borderId="49" xfId="0" applyFont="1" applyFill="1" applyBorder="1" applyAlignment="1">
      <alignment horizontal="center" vertical="center" wrapText="1"/>
    </xf>
    <xf numFmtId="9" fontId="12" fillId="9" borderId="39" xfId="0" applyNumberFormat="1" applyFont="1" applyFill="1" applyBorder="1" applyAlignment="1">
      <alignment horizontal="center" vertical="center"/>
    </xf>
    <xf numFmtId="0" fontId="2" fillId="0" borderId="0" xfId="0" applyFont="1" applyAlignment="1">
      <alignment horizontal="right" vertical="center"/>
    </xf>
    <xf numFmtId="0" fontId="12" fillId="0" borderId="0" xfId="0" applyFont="1" applyAlignment="1">
      <alignment horizontal="right" vertical="center"/>
    </xf>
    <xf numFmtId="0" fontId="4" fillId="0" borderId="6" xfId="0" applyFont="1" applyBorder="1" applyAlignment="1">
      <alignment horizontal="right" vertical="center"/>
    </xf>
    <xf numFmtId="0" fontId="4" fillId="0" borderId="0" xfId="0" applyFont="1" applyAlignment="1">
      <alignment horizontal="right" vertical="center"/>
    </xf>
    <xf numFmtId="0" fontId="2" fillId="4" borderId="0" xfId="0" applyFont="1" applyFill="1" applyAlignment="1">
      <alignment horizontal="right" vertical="center"/>
    </xf>
    <xf numFmtId="0" fontId="2" fillId="0" borderId="3" xfId="0" applyFont="1" applyBorder="1" applyAlignment="1">
      <alignment horizontal="right" vertical="center"/>
    </xf>
    <xf numFmtId="0" fontId="2" fillId="0" borderId="4" xfId="0" applyFont="1" applyBorder="1" applyAlignment="1">
      <alignment horizontal="right" vertical="center"/>
    </xf>
    <xf numFmtId="0" fontId="2" fillId="0" borderId="5" xfId="0" applyFont="1" applyBorder="1" applyAlignment="1">
      <alignment horizontal="right" vertical="center"/>
    </xf>
    <xf numFmtId="0" fontId="2" fillId="0" borderId="9" xfId="0" applyFont="1" applyBorder="1" applyAlignment="1">
      <alignment horizontal="right" vertical="center"/>
    </xf>
    <xf numFmtId="0" fontId="17" fillId="0" borderId="13" xfId="0" applyFont="1" applyBorder="1" applyAlignment="1">
      <alignment horizontal="center" vertical="center"/>
    </xf>
    <xf numFmtId="0" fontId="2" fillId="0" borderId="0" xfId="0" applyFont="1" applyAlignment="1">
      <alignment vertical="center"/>
    </xf>
    <xf numFmtId="0" fontId="0" fillId="0" borderId="9" xfId="0" applyBorder="1"/>
    <xf numFmtId="0" fontId="12" fillId="0" borderId="13" xfId="0" applyFont="1" applyBorder="1" applyAlignment="1">
      <alignment horizontal="center" vertical="center"/>
    </xf>
    <xf numFmtId="0" fontId="15" fillId="0" borderId="0" xfId="0" applyFont="1" applyAlignment="1">
      <alignment horizontal="right" vertical="center"/>
    </xf>
    <xf numFmtId="0" fontId="2" fillId="0" borderId="0" xfId="0" applyFont="1" applyAlignment="1">
      <alignment horizontal="right" vertical="center"/>
    </xf>
    <xf numFmtId="0" fontId="4" fillId="2" borderId="35" xfId="0" applyFont="1" applyFill="1" applyBorder="1" applyAlignment="1">
      <alignment horizontal="center" vertical="center"/>
    </xf>
    <xf numFmtId="0" fontId="0" fillId="0" borderId="1" xfId="0" applyBorder="1"/>
    <xf numFmtId="0" fontId="0" fillId="0" borderId="15" xfId="0" applyBorder="1"/>
    <xf numFmtId="0" fontId="0" fillId="0" borderId="1" xfId="0" applyBorder="1" applyProtection="1">
      <protection locked="0"/>
    </xf>
    <xf numFmtId="0" fontId="0" fillId="0" borderId="83" xfId="0" applyBorder="1" applyProtection="1">
      <protection locked="0"/>
    </xf>
    <xf numFmtId="0" fontId="0" fillId="0" borderId="80" xfId="0" applyBorder="1"/>
    <xf numFmtId="0" fontId="0" fillId="0" borderId="41" xfId="0" applyBorder="1"/>
    <xf numFmtId="0" fontId="4" fillId="3" borderId="25" xfId="0" applyFont="1" applyFill="1" applyBorder="1" applyAlignment="1">
      <alignment horizontal="center" vertical="center" wrapText="1"/>
    </xf>
    <xf numFmtId="0" fontId="0" fillId="0" borderId="55" xfId="0" applyBorder="1"/>
    <xf numFmtId="0" fontId="0" fillId="0" borderId="14" xfId="0" applyBorder="1"/>
    <xf numFmtId="0" fontId="0" fillId="0" borderId="83" xfId="0" applyBorder="1"/>
    <xf numFmtId="0" fontId="2" fillId="0" borderId="17" xfId="0" applyFont="1" applyBorder="1" applyAlignment="1">
      <alignment horizontal="center" vertical="center" wrapText="1"/>
    </xf>
    <xf numFmtId="0" fontId="0" fillId="0" borderId="26" xfId="0" applyBorder="1"/>
    <xf numFmtId="0" fontId="10" fillId="0" borderId="17" xfId="0" applyFont="1" applyBorder="1" applyAlignment="1">
      <alignment horizontal="center" vertical="center" wrapText="1"/>
    </xf>
    <xf numFmtId="0" fontId="4" fillId="0" borderId="17" xfId="0" applyFont="1" applyBorder="1" applyAlignment="1">
      <alignment horizontal="center" vertical="center"/>
    </xf>
    <xf numFmtId="0" fontId="2" fillId="0" borderId="17" xfId="0" applyFont="1" applyBorder="1" applyAlignment="1" applyProtection="1">
      <alignment horizontal="center" vertical="center" wrapText="1"/>
      <protection locked="0"/>
    </xf>
    <xf numFmtId="0" fontId="0" fillId="0" borderId="17" xfId="0" applyBorder="1" applyProtection="1">
      <protection locked="0"/>
    </xf>
    <xf numFmtId="0" fontId="0" fillId="0" borderId="74" xfId="0" applyBorder="1" applyProtection="1">
      <protection locked="0"/>
    </xf>
    <xf numFmtId="1" fontId="30" fillId="0" borderId="28" xfId="0" applyNumberFormat="1" applyFont="1" applyBorder="1" applyAlignment="1">
      <alignment horizontal="center" vertical="center"/>
    </xf>
    <xf numFmtId="0" fontId="4" fillId="2" borderId="2" xfId="0" applyFont="1" applyFill="1" applyBorder="1" applyAlignment="1">
      <alignment horizontal="center" vertical="center"/>
    </xf>
    <xf numFmtId="0" fontId="0" fillId="0" borderId="63" xfId="0" applyBorder="1"/>
    <xf numFmtId="0" fontId="0" fillId="0" borderId="37" xfId="0" applyBorder="1"/>
    <xf numFmtId="9" fontId="12" fillId="0" borderId="27" xfId="0" applyNumberFormat="1" applyFont="1" applyBorder="1" applyAlignment="1" applyProtection="1">
      <alignment horizontal="center" vertical="center"/>
      <protection locked="0"/>
    </xf>
    <xf numFmtId="0" fontId="0" fillId="0" borderId="4" xfId="0" applyBorder="1" applyProtection="1">
      <protection locked="0"/>
    </xf>
    <xf numFmtId="0" fontId="2" fillId="0" borderId="25" xfId="0" applyFont="1" applyBorder="1" applyAlignment="1" applyProtection="1">
      <alignment horizontal="center" vertical="center"/>
      <protection locked="0"/>
    </xf>
    <xf numFmtId="0" fontId="0" fillId="0" borderId="53" xfId="0" applyBorder="1" applyProtection="1">
      <protection locked="0"/>
    </xf>
    <xf numFmtId="0" fontId="0" fillId="0" borderId="55" xfId="0" applyBorder="1" applyProtection="1">
      <protection locked="0"/>
    </xf>
    <xf numFmtId="0" fontId="0" fillId="0" borderId="5" xfId="0" applyBorder="1" applyProtection="1">
      <protection locked="0"/>
    </xf>
    <xf numFmtId="0" fontId="0" fillId="0" borderId="48" xfId="0" applyBorder="1" applyProtection="1">
      <protection locked="0"/>
    </xf>
    <xf numFmtId="0" fontId="0" fillId="0" borderId="81" xfId="0" applyBorder="1" applyProtection="1">
      <protection locked="0"/>
    </xf>
    <xf numFmtId="0" fontId="0" fillId="0" borderId="54" xfId="0" applyBorder="1" applyProtection="1">
      <protection locked="0"/>
    </xf>
    <xf numFmtId="0" fontId="2" fillId="0" borderId="17" xfId="0" applyFont="1" applyBorder="1" applyAlignment="1" applyProtection="1">
      <alignment horizontal="center" vertical="center"/>
      <protection locked="0"/>
    </xf>
    <xf numFmtId="0" fontId="0" fillId="0" borderId="45" xfId="0" applyBorder="1" applyProtection="1">
      <protection locked="0"/>
    </xf>
    <xf numFmtId="0" fontId="0" fillId="0" borderId="84" xfId="0" applyBorder="1" applyProtection="1">
      <protection locked="0"/>
    </xf>
    <xf numFmtId="0" fontId="2" fillId="0" borderId="2" xfId="0" applyFont="1" applyBorder="1" applyAlignment="1">
      <alignment horizontal="center" vertical="center"/>
    </xf>
    <xf numFmtId="0" fontId="2" fillId="0" borderId="13" xfId="0" applyFont="1" applyBorder="1" applyAlignment="1">
      <alignment horizontal="center" vertical="center"/>
    </xf>
    <xf numFmtId="0" fontId="4" fillId="0" borderId="25" xfId="0" applyFont="1" applyBorder="1" applyAlignment="1">
      <alignment horizontal="center" vertical="center" wrapText="1"/>
    </xf>
    <xf numFmtId="0" fontId="0" fillId="0" borderId="81" xfId="0" applyBorder="1"/>
    <xf numFmtId="0" fontId="0" fillId="0" borderId="74" xfId="0" applyBorder="1"/>
    <xf numFmtId="0" fontId="4" fillId="3" borderId="18" xfId="0" applyFont="1" applyFill="1" applyBorder="1" applyAlignment="1">
      <alignment horizontal="center" vertical="center"/>
    </xf>
    <xf numFmtId="0" fontId="0" fillId="0" borderId="19" xfId="0" applyBorder="1"/>
    <xf numFmtId="0" fontId="4" fillId="0" borderId="23" xfId="0" applyFont="1" applyBorder="1" applyAlignment="1">
      <alignment horizontal="center" vertical="center"/>
    </xf>
    <xf numFmtId="0" fontId="0" fillId="0" borderId="79" xfId="0" applyBorder="1"/>
    <xf numFmtId="0" fontId="0" fillId="0" borderId="22" xfId="0" applyBorder="1"/>
    <xf numFmtId="0" fontId="2" fillId="0" borderId="35" xfId="0" applyFont="1" applyBorder="1" applyAlignment="1" applyProtection="1">
      <alignment horizontal="center" vertical="center"/>
      <protection locked="0"/>
    </xf>
    <xf numFmtId="0" fontId="0" fillId="0" borderId="15" xfId="0" applyBorder="1" applyProtection="1">
      <protection locked="0"/>
    </xf>
    <xf numFmtId="0" fontId="4" fillId="2" borderId="49" xfId="0" applyFont="1" applyFill="1" applyBorder="1" applyAlignment="1">
      <alignment horizontal="center" vertical="center"/>
    </xf>
    <xf numFmtId="0" fontId="0" fillId="0" borderId="16" xfId="0" applyBorder="1"/>
    <xf numFmtId="0" fontId="0" fillId="0" borderId="78" xfId="0" applyBorder="1"/>
    <xf numFmtId="0" fontId="12" fillId="9" borderId="39" xfId="0" applyFont="1" applyFill="1" applyBorder="1" applyAlignment="1">
      <alignment horizontal="center" vertical="center" wrapText="1"/>
    </xf>
    <xf numFmtId="0" fontId="0" fillId="0" borderId="54" xfId="0" applyBorder="1"/>
    <xf numFmtId="0" fontId="4" fillId="14" borderId="25" xfId="0" applyFont="1" applyFill="1" applyBorder="1" applyAlignment="1">
      <alignment horizontal="center" vertical="center" wrapText="1"/>
    </xf>
    <xf numFmtId="0" fontId="0" fillId="0" borderId="53" xfId="0" applyBorder="1"/>
    <xf numFmtId="0" fontId="4" fillId="2" borderId="21" xfId="0" applyFont="1" applyFill="1" applyBorder="1" applyAlignment="1">
      <alignment horizontal="center" vertical="center" wrapText="1"/>
    </xf>
    <xf numFmtId="0" fontId="0" fillId="0" borderId="4" xfId="0" applyBorder="1"/>
    <xf numFmtId="0" fontId="12" fillId="9" borderId="17" xfId="0" applyFont="1" applyFill="1" applyBorder="1" applyAlignment="1">
      <alignment horizontal="center" vertical="center" wrapText="1"/>
    </xf>
    <xf numFmtId="0" fontId="5" fillId="6" borderId="2" xfId="0" applyFont="1" applyFill="1" applyBorder="1" applyAlignment="1">
      <alignment horizontal="center" vertical="center"/>
    </xf>
    <xf numFmtId="0" fontId="24" fillId="2" borderId="2" xfId="0" applyFont="1" applyFill="1" applyBorder="1" applyAlignment="1">
      <alignment horizontal="right" vertical="center"/>
    </xf>
    <xf numFmtId="0" fontId="4" fillId="0" borderId="21" xfId="0" applyFont="1" applyBorder="1" applyAlignment="1">
      <alignment horizontal="center" vertical="center"/>
    </xf>
    <xf numFmtId="0" fontId="4" fillId="2" borderId="4" xfId="0" applyFont="1" applyFill="1" applyBorder="1" applyAlignment="1">
      <alignment horizontal="center" vertical="center" wrapText="1"/>
    </xf>
    <xf numFmtId="0" fontId="0" fillId="0" borderId="82" xfId="0" applyBorder="1"/>
    <xf numFmtId="0" fontId="0" fillId="0" borderId="52" xfId="0" applyBorder="1"/>
    <xf numFmtId="0" fontId="19" fillId="0" borderId="13" xfId="0" applyFont="1" applyBorder="1" applyAlignment="1">
      <alignment horizontal="center" vertical="center" wrapText="1"/>
    </xf>
    <xf numFmtId="0" fontId="0" fillId="0" borderId="34" xfId="0" applyBorder="1"/>
    <xf numFmtId="166" fontId="12" fillId="0" borderId="27" xfId="0" applyNumberFormat="1" applyFont="1" applyBorder="1" applyAlignment="1" applyProtection="1">
      <alignment horizontal="center" vertical="center"/>
      <protection locked="0"/>
    </xf>
    <xf numFmtId="0" fontId="0" fillId="0" borderId="16" xfId="0" applyBorder="1" applyProtection="1">
      <protection locked="0"/>
    </xf>
    <xf numFmtId="0" fontId="4" fillId="2" borderId="49" xfId="0" applyFont="1" applyFill="1" applyBorder="1" applyAlignment="1">
      <alignment horizontal="center" vertical="center" wrapText="1"/>
    </xf>
    <xf numFmtId="0" fontId="4" fillId="12" borderId="27" xfId="0" applyFont="1" applyFill="1" applyBorder="1" applyAlignment="1">
      <alignment horizontal="center" vertical="center" wrapText="1"/>
    </xf>
    <xf numFmtId="9" fontId="29" fillId="0" borderId="17" xfId="0" applyNumberFormat="1" applyFont="1" applyBorder="1" applyAlignment="1">
      <alignment horizontal="center" vertical="center"/>
    </xf>
    <xf numFmtId="0" fontId="4" fillId="2" borderId="23" xfId="0" applyFont="1" applyFill="1" applyBorder="1" applyAlignment="1">
      <alignment horizontal="center" vertical="center" wrapText="1"/>
    </xf>
    <xf numFmtId="0" fontId="2" fillId="0" borderId="39" xfId="0" applyFont="1" applyBorder="1" applyAlignment="1" applyProtection="1">
      <alignment horizontal="center" vertical="center" wrapText="1"/>
      <protection locked="0"/>
    </xf>
    <xf numFmtId="0" fontId="0" fillId="0" borderId="84" xfId="0" applyBorder="1"/>
    <xf numFmtId="0" fontId="28" fillId="0" borderId="95" xfId="0" applyFont="1" applyBorder="1" applyAlignment="1">
      <alignment horizontal="center"/>
    </xf>
    <xf numFmtId="0" fontId="28" fillId="0" borderId="79" xfId="0" applyFont="1" applyBorder="1" applyAlignment="1">
      <alignment horizontal="center"/>
    </xf>
    <xf numFmtId="0" fontId="28" fillId="0" borderId="22" xfId="0" applyFont="1" applyBorder="1" applyAlignment="1">
      <alignment horizontal="center"/>
    </xf>
    <xf numFmtId="0" fontId="35" fillId="0" borderId="17" xfId="0" applyFont="1" applyBorder="1" applyAlignment="1">
      <alignment horizontal="center" vertical="center" wrapText="1"/>
    </xf>
    <xf numFmtId="0" fontId="4" fillId="0" borderId="24" xfId="0" applyFont="1" applyBorder="1" applyAlignment="1">
      <alignment horizontal="center" vertical="center"/>
    </xf>
    <xf numFmtId="0" fontId="0" fillId="0" borderId="85" xfId="0" applyBorder="1"/>
    <xf numFmtId="0" fontId="10" fillId="9" borderId="17" xfId="0" applyFont="1" applyFill="1" applyBorder="1" applyAlignment="1">
      <alignment horizontal="center" vertical="center" wrapText="1"/>
    </xf>
    <xf numFmtId="0" fontId="2" fillId="0" borderId="9" xfId="0" applyFont="1" applyBorder="1" applyAlignment="1" applyProtection="1">
      <alignment horizontal="center" vertical="center"/>
      <protection locked="0"/>
    </xf>
    <xf numFmtId="0" fontId="0" fillId="0" borderId="9" xfId="0" applyBorder="1" applyProtection="1">
      <protection locked="0"/>
    </xf>
    <xf numFmtId="1" fontId="2" fillId="0" borderId="17" xfId="0" applyNumberFormat="1" applyFont="1" applyBorder="1" applyAlignment="1">
      <alignment horizontal="center" vertical="center" wrapText="1"/>
    </xf>
    <xf numFmtId="0" fontId="0" fillId="0" borderId="5" xfId="0" applyBorder="1"/>
    <xf numFmtId="0" fontId="0" fillId="0" borderId="48" xfId="0" applyBorder="1"/>
    <xf numFmtId="1" fontId="2" fillId="9" borderId="17" xfId="0" applyNumberFormat="1" applyFont="1" applyFill="1" applyBorder="1" applyAlignment="1">
      <alignment horizontal="center" vertical="center" wrapText="1"/>
    </xf>
    <xf numFmtId="0" fontId="0" fillId="0" borderId="39" xfId="0" applyBorder="1"/>
    <xf numFmtId="0" fontId="4" fillId="2" borderId="20" xfId="0" applyFont="1" applyFill="1" applyBorder="1" applyAlignment="1">
      <alignment horizontal="center" vertical="center" wrapText="1"/>
    </xf>
    <xf numFmtId="0" fontId="24" fillId="2" borderId="53" xfId="0" applyFont="1" applyFill="1" applyBorder="1" applyAlignment="1">
      <alignment horizontal="right" vertical="center"/>
    </xf>
    <xf numFmtId="0" fontId="24" fillId="2" borderId="26" xfId="0" applyFont="1" applyFill="1" applyBorder="1" applyAlignment="1">
      <alignment horizontal="right" vertical="center"/>
    </xf>
    <xf numFmtId="0" fontId="0" fillId="0" borderId="50" xfId="0" applyBorder="1" applyProtection="1">
      <protection locked="0"/>
    </xf>
    <xf numFmtId="0" fontId="28" fillId="0" borderId="17" xfId="0" applyFont="1" applyBorder="1" applyAlignment="1">
      <alignment horizontal="center" vertical="top" wrapText="1"/>
    </xf>
    <xf numFmtId="0" fontId="0" fillId="0" borderId="45" xfId="0" applyBorder="1"/>
    <xf numFmtId="0" fontId="0" fillId="0" borderId="0" xfId="0"/>
    <xf numFmtId="0" fontId="28" fillId="0" borderId="17" xfId="0" applyFont="1" applyBorder="1" applyAlignment="1">
      <alignment horizontal="center" wrapText="1"/>
    </xf>
    <xf numFmtId="0" fontId="0" fillId="0" borderId="54" xfId="0" applyBorder="1" applyAlignment="1">
      <alignment horizontal="center"/>
    </xf>
    <xf numFmtId="0" fontId="45" fillId="0" borderId="17" xfId="0" applyFont="1" applyBorder="1" applyAlignment="1">
      <alignment horizontal="center" vertical="top" wrapText="1"/>
    </xf>
    <xf numFmtId="0" fontId="44" fillId="16" borderId="17" xfId="0" applyFont="1" applyFill="1" applyBorder="1" applyAlignment="1">
      <alignment horizontal="center" vertical="top"/>
    </xf>
    <xf numFmtId="0" fontId="28" fillId="16" borderId="17" xfId="0" applyFont="1" applyFill="1" applyBorder="1" applyAlignment="1">
      <alignment horizontal="center" vertical="center" textRotation="90"/>
    </xf>
    <xf numFmtId="0" fontId="0" fillId="0" borderId="51" xfId="0" applyBorder="1"/>
    <xf numFmtId="49" fontId="44" fillId="4" borderId="17" xfId="0" applyNumberFormat="1" applyFont="1" applyFill="1" applyBorder="1" applyAlignment="1">
      <alignment horizontal="center" vertical="top" wrapText="1"/>
    </xf>
    <xf numFmtId="49" fontId="46" fillId="0" borderId="17" xfId="0" applyNumberFormat="1" applyFont="1" applyBorder="1" applyAlignment="1">
      <alignment horizontal="center" vertical="top" wrapText="1"/>
    </xf>
    <xf numFmtId="0" fontId="28" fillId="16" borderId="17" xfId="0" applyFont="1" applyFill="1" applyBorder="1" applyAlignment="1">
      <alignment horizontal="center"/>
    </xf>
    <xf numFmtId="49" fontId="44" fillId="0" borderId="17" xfId="0" applyNumberFormat="1" applyFont="1" applyBorder="1" applyAlignment="1">
      <alignment horizontal="center" vertical="top" wrapText="1"/>
    </xf>
    <xf numFmtId="0" fontId="44" fillId="16" borderId="17" xfId="0" applyFont="1" applyFill="1" applyBorder="1" applyAlignment="1">
      <alignment horizontal="center" vertical="center" textRotation="90"/>
    </xf>
    <xf numFmtId="0" fontId="42" fillId="16" borderId="54" xfId="0" applyFont="1" applyFill="1" applyBorder="1" applyAlignment="1">
      <alignment horizontal="center"/>
    </xf>
    <xf numFmtId="0" fontId="0" fillId="0" borderId="48" xfId="0" applyBorder="1" applyAlignment="1">
      <alignment horizontal="center" vertical="center" textRotation="90"/>
    </xf>
    <xf numFmtId="49" fontId="44" fillId="16" borderId="17" xfId="0" applyNumberFormat="1" applyFont="1" applyFill="1" applyBorder="1" applyAlignment="1">
      <alignment horizontal="center" vertical="center" textRotation="90"/>
    </xf>
    <xf numFmtId="0" fontId="0" fillId="0" borderId="45" xfId="0" applyBorder="1" applyAlignment="1">
      <alignment horizontal="center"/>
    </xf>
    <xf numFmtId="0" fontId="28" fillId="4" borderId="17" xfId="0" applyFont="1" applyFill="1" applyBorder="1" applyAlignment="1">
      <alignment horizontal="center" vertical="top" wrapText="1"/>
    </xf>
    <xf numFmtId="0" fontId="0" fillId="0" borderId="0" xfId="0" applyAlignment="1">
      <alignment horizontal="center"/>
    </xf>
    <xf numFmtId="0" fontId="28" fillId="16" borderId="55" xfId="0" applyFont="1" applyFill="1" applyBorder="1" applyAlignment="1">
      <alignment horizontal="center" vertical="center" textRotation="90"/>
    </xf>
    <xf numFmtId="0" fontId="43" fillId="16" borderId="54" xfId="0" applyFont="1" applyFill="1" applyBorder="1" applyAlignment="1">
      <alignment horizontal="center"/>
    </xf>
    <xf numFmtId="0" fontId="47" fillId="0" borderId="61" xfId="0" applyFont="1" applyBorder="1" applyAlignment="1">
      <alignment horizontal="left" wrapText="1"/>
    </xf>
    <xf numFmtId="0" fontId="0" fillId="0" borderId="90" xfId="0" applyBorder="1"/>
    <xf numFmtId="0" fontId="0" fillId="0" borderId="96" xfId="0" applyBorder="1"/>
    <xf numFmtId="0" fontId="47" fillId="0" borderId="62" xfId="0" applyFont="1" applyBorder="1" applyAlignment="1">
      <alignment horizontal="left" wrapText="1"/>
    </xf>
    <xf numFmtId="0" fontId="0" fillId="0" borderId="91" xfId="0" applyBorder="1"/>
    <xf numFmtId="0" fontId="0" fillId="0" borderId="97" xfId="0" applyBorder="1"/>
    <xf numFmtId="0" fontId="47" fillId="4" borderId="68" xfId="0" applyFont="1" applyFill="1" applyBorder="1" applyAlignment="1">
      <alignment horizontal="center" vertical="center"/>
    </xf>
    <xf numFmtId="0" fontId="0" fillId="0" borderId="93" xfId="0" applyBorder="1"/>
    <xf numFmtId="0" fontId="0" fillId="0" borderId="70" xfId="0" applyBorder="1"/>
    <xf numFmtId="0" fontId="49" fillId="0" borderId="57" xfId="0" applyFont="1" applyBorder="1" applyAlignment="1">
      <alignment horizontal="center" vertical="center"/>
    </xf>
    <xf numFmtId="0" fontId="47" fillId="4" borderId="69" xfId="0" applyFont="1" applyFill="1" applyBorder="1" applyAlignment="1">
      <alignment horizontal="center" vertical="center"/>
    </xf>
    <xf numFmtId="0" fontId="47" fillId="0" borderId="59" xfId="0" applyFont="1" applyBorder="1" applyAlignment="1">
      <alignment horizontal="left" wrapText="1"/>
    </xf>
    <xf numFmtId="0" fontId="0" fillId="0" borderId="87" xfId="0" applyBorder="1"/>
    <xf numFmtId="0" fontId="0" fillId="0" borderId="98" xfId="0" applyBorder="1"/>
    <xf numFmtId="0" fontId="47" fillId="4" borderId="66" xfId="0" applyFont="1" applyFill="1" applyBorder="1" applyAlignment="1">
      <alignment horizontal="center" vertical="center"/>
    </xf>
    <xf numFmtId="0" fontId="0" fillId="0" borderId="92" xfId="0" applyBorder="1"/>
    <xf numFmtId="0" fontId="0" fillId="0" borderId="67" xfId="0" applyBorder="1"/>
    <xf numFmtId="0" fontId="47" fillId="0" borderId="60" xfId="0" applyFont="1" applyBorder="1" applyAlignment="1">
      <alignment horizontal="center" wrapText="1"/>
    </xf>
    <xf numFmtId="0" fontId="0" fillId="0" borderId="88" xfId="0" applyBorder="1"/>
    <xf numFmtId="0" fontId="0" fillId="0" borderId="89" xfId="0" applyBorder="1"/>
    <xf numFmtId="0" fontId="0" fillId="0" borderId="58" xfId="0" applyBorder="1"/>
    <xf numFmtId="0" fontId="47" fillId="0" borderId="59" xfId="0" applyFont="1" applyBorder="1" applyAlignment="1">
      <alignment horizontal="center" wrapText="1"/>
    </xf>
    <xf numFmtId="0" fontId="47" fillId="4" borderId="71" xfId="0" applyFont="1" applyFill="1" applyBorder="1" applyAlignment="1">
      <alignment horizontal="center" vertical="center"/>
    </xf>
    <xf numFmtId="0" fontId="0" fillId="0" borderId="94" xfId="0" applyBorder="1"/>
    <xf numFmtId="0" fontId="0" fillId="0" borderId="73" xfId="0" applyBorder="1"/>
    <xf numFmtId="0" fontId="49" fillId="2" borderId="57" xfId="0" applyFont="1" applyFill="1" applyBorder="1" applyAlignment="1">
      <alignment horizontal="center" vertical="center"/>
    </xf>
    <xf numFmtId="0" fontId="49" fillId="4" borderId="27" xfId="0" applyFont="1" applyFill="1" applyBorder="1" applyAlignment="1">
      <alignment horizontal="center" vertical="center"/>
    </xf>
    <xf numFmtId="0" fontId="49" fillId="4" borderId="16" xfId="0" applyFont="1" applyFill="1" applyBorder="1" applyAlignment="1">
      <alignment horizontal="center" vertical="center"/>
    </xf>
    <xf numFmtId="0" fontId="47" fillId="4" borderId="67" xfId="0" applyFont="1" applyFill="1" applyBorder="1" applyAlignment="1">
      <alignment horizontal="center" vertical="center"/>
    </xf>
    <xf numFmtId="0" fontId="47" fillId="4" borderId="70" xfId="0" applyFont="1" applyFill="1" applyBorder="1" applyAlignment="1">
      <alignment horizontal="center" vertical="center"/>
    </xf>
    <xf numFmtId="0" fontId="48" fillId="6" borderId="0" xfId="0" applyFont="1" applyFill="1" applyAlignment="1">
      <alignment horizontal="center"/>
    </xf>
    <xf numFmtId="0" fontId="47" fillId="0" borderId="0" xfId="0" applyFont="1"/>
    <xf numFmtId="0" fontId="47" fillId="4" borderId="73" xfId="0" applyFont="1" applyFill="1" applyBorder="1" applyAlignment="1">
      <alignment horizontal="center" vertical="center"/>
    </xf>
    <xf numFmtId="0" fontId="49" fillId="4" borderId="4" xfId="0" applyFont="1" applyFill="1" applyBorder="1" applyAlignment="1">
      <alignment horizontal="center" vertical="center"/>
    </xf>
    <xf numFmtId="0" fontId="49" fillId="2" borderId="56" xfId="0" applyFont="1" applyFill="1" applyBorder="1" applyAlignment="1">
      <alignment horizontal="center" vertical="center"/>
    </xf>
    <xf numFmtId="0" fontId="47" fillId="4" borderId="65" xfId="0" applyFont="1" applyFill="1" applyBorder="1" applyAlignment="1">
      <alignment horizontal="center" vertical="center"/>
    </xf>
    <xf numFmtId="0" fontId="47" fillId="4" borderId="72" xfId="0" applyFont="1" applyFill="1" applyBorder="1" applyAlignment="1">
      <alignment horizontal="center" vertical="center"/>
    </xf>
    <xf numFmtId="0" fontId="0" fillId="0" borderId="86" xfId="0" applyBorder="1"/>
    <xf numFmtId="0" fontId="5" fillId="19" borderId="21" xfId="0" applyFont="1" applyFill="1" applyBorder="1" applyAlignment="1">
      <alignment horizontal="center" vertical="center" wrapText="1"/>
    </xf>
    <xf numFmtId="0" fontId="58" fillId="21" borderId="25" xfId="0" applyFont="1" applyFill="1" applyBorder="1" applyAlignment="1">
      <alignment horizontal="center" vertical="center" wrapText="1"/>
    </xf>
    <xf numFmtId="0" fontId="59" fillId="21" borderId="17" xfId="0" applyFont="1" applyFill="1" applyBorder="1" applyAlignment="1">
      <alignment horizontal="center" vertical="center" wrapText="1"/>
    </xf>
    <xf numFmtId="0" fontId="59" fillId="21" borderId="28" xfId="0" applyFont="1" applyFill="1" applyBorder="1" applyAlignment="1">
      <alignment horizontal="center" vertical="center" wrapText="1"/>
    </xf>
    <xf numFmtId="0" fontId="58" fillId="0" borderId="25" xfId="0" applyFont="1" applyBorder="1" applyAlignment="1">
      <alignment horizontal="center" vertical="center" wrapText="1"/>
    </xf>
    <xf numFmtId="0" fontId="59" fillId="0" borderId="17" xfId="0" applyFont="1" applyBorder="1" applyAlignment="1">
      <alignment horizontal="center" vertical="center" wrapText="1"/>
    </xf>
    <xf numFmtId="0" fontId="59" fillId="0" borderId="28" xfId="0" applyFont="1" applyBorder="1" applyAlignment="1">
      <alignment horizontal="center" vertical="center" wrapText="1"/>
    </xf>
    <xf numFmtId="0" fontId="58" fillId="21" borderId="47" xfId="0" applyFont="1" applyFill="1" applyBorder="1" applyAlignment="1">
      <alignment horizontal="center" vertical="center" wrapText="1"/>
    </xf>
    <xf numFmtId="0" fontId="59" fillId="21" borderId="32" xfId="0" applyFont="1" applyFill="1" applyBorder="1" applyAlignment="1">
      <alignment horizontal="center" vertical="center" wrapText="1"/>
    </xf>
    <xf numFmtId="0" fontId="59" fillId="21" borderId="33" xfId="0" applyFont="1" applyFill="1" applyBorder="1" applyAlignment="1">
      <alignment horizontal="center" vertical="center" wrapText="1"/>
    </xf>
    <xf numFmtId="0" fontId="5" fillId="6" borderId="27" xfId="0" applyFont="1" applyFill="1" applyBorder="1" applyAlignment="1">
      <alignment horizontal="center" vertical="center"/>
    </xf>
    <xf numFmtId="0" fontId="0" fillId="0" borderId="16" xfId="0" applyBorder="1" applyAlignment="1">
      <alignment horizontal="center"/>
    </xf>
    <xf numFmtId="0" fontId="0" fillId="0" borderId="4" xfId="0" applyBorder="1" applyAlignment="1">
      <alignment horizontal="center"/>
    </xf>
    <xf numFmtId="172" fontId="2" fillId="0" borderId="17" xfId="0" applyNumberFormat="1" applyFont="1" applyBorder="1" applyAlignment="1" applyProtection="1">
      <alignment horizontal="center" vertical="center"/>
      <protection locked="0"/>
    </xf>
    <xf numFmtId="0" fontId="49" fillId="2" borderId="36" xfId="0" applyFont="1" applyFill="1" applyBorder="1" applyAlignment="1">
      <alignment horizontal="center" vertical="center"/>
    </xf>
    <xf numFmtId="0" fontId="49" fillId="2" borderId="63" xfId="0" applyFont="1" applyFill="1" applyBorder="1" applyAlignment="1">
      <alignment horizontal="center" vertical="center"/>
    </xf>
    <xf numFmtId="0" fontId="49" fillId="2" borderId="37" xfId="0" applyFont="1" applyFill="1" applyBorder="1" applyAlignment="1">
      <alignment horizontal="center" vertical="center"/>
    </xf>
    <xf numFmtId="0" fontId="6" fillId="19" borderId="49" xfId="0" applyFont="1" applyFill="1" applyBorder="1" applyAlignment="1">
      <alignment horizontal="center" vertical="top" wrapText="1"/>
    </xf>
    <xf numFmtId="0" fontId="5" fillId="19" borderId="49" xfId="0" applyFont="1" applyFill="1" applyBorder="1" applyAlignment="1">
      <alignment horizontal="center"/>
    </xf>
    <xf numFmtId="0" fontId="5" fillId="19" borderId="30" xfId="0" applyFont="1" applyFill="1" applyBorder="1" applyAlignment="1">
      <alignment horizontal="center"/>
    </xf>
    <xf numFmtId="0" fontId="51" fillId="0" borderId="0" xfId="0" applyFont="1" applyAlignment="1">
      <alignment horizontal="center" vertical="top" wrapText="1"/>
    </xf>
    <xf numFmtId="0" fontId="52" fillId="3" borderId="23" xfId="0" applyFont="1" applyFill="1" applyBorder="1" applyAlignment="1">
      <alignment horizontal="center" vertical="top" wrapText="1"/>
    </xf>
    <xf numFmtId="49" fontId="53" fillId="0" borderId="23" xfId="0" applyNumberFormat="1" applyFont="1" applyBorder="1" applyAlignment="1">
      <alignment horizontal="center" vertical="top" wrapText="1"/>
    </xf>
    <xf numFmtId="0" fontId="53" fillId="0" borderId="23" xfId="0" applyFont="1" applyBorder="1" applyAlignment="1">
      <alignment horizontal="center" vertical="top" wrapText="1"/>
    </xf>
    <xf numFmtId="0" fontId="53" fillId="0" borderId="24" xfId="0" applyFont="1" applyBorder="1" applyAlignment="1">
      <alignment horizontal="center" vertical="top" wrapText="1"/>
    </xf>
    <xf numFmtId="0" fontId="54" fillId="3" borderId="32" xfId="0" applyFont="1" applyFill="1" applyBorder="1" applyAlignment="1">
      <alignment horizontal="center" vertical="top" wrapText="1"/>
    </xf>
    <xf numFmtId="0" fontId="53" fillId="0" borderId="32" xfId="0" applyFont="1" applyBorder="1" applyAlignment="1">
      <alignment horizontal="center" vertical="top" wrapText="1"/>
    </xf>
    <xf numFmtId="0" fontId="53" fillId="0" borderId="33" xfId="0" applyFont="1" applyBorder="1" applyAlignment="1">
      <alignment horizontal="center" vertical="top" wrapText="1"/>
    </xf>
    <xf numFmtId="0" fontId="52" fillId="3" borderId="32" xfId="0" applyFont="1" applyFill="1" applyBorder="1" applyAlignment="1">
      <alignment horizontal="center" vertical="top" wrapText="1"/>
    </xf>
    <xf numFmtId="0" fontId="4" fillId="2" borderId="63" xfId="0" applyFont="1" applyFill="1" applyBorder="1" applyAlignment="1" applyProtection="1">
      <alignment horizontal="center" vertical="center"/>
      <protection locked="0"/>
    </xf>
    <xf numFmtId="0" fontId="4" fillId="2" borderId="19" xfId="0" applyFont="1" applyFill="1" applyBorder="1" applyAlignment="1" applyProtection="1">
      <alignment horizontal="center" vertical="center"/>
      <protection locked="0"/>
    </xf>
    <xf numFmtId="0" fontId="2" fillId="0" borderId="95" xfId="0" applyFont="1" applyBorder="1" applyAlignment="1">
      <alignment horizontal="center" vertical="center" wrapText="1"/>
    </xf>
    <xf numFmtId="0" fontId="2" fillId="0" borderId="79" xfId="0" applyFont="1" applyBorder="1" applyAlignment="1">
      <alignment horizontal="center" vertical="center" wrapText="1"/>
    </xf>
    <xf numFmtId="0" fontId="2" fillId="0" borderId="22" xfId="0" applyFont="1" applyBorder="1" applyAlignment="1">
      <alignment horizontal="center" vertical="center" wrapText="1"/>
    </xf>
    <xf numFmtId="0" fontId="12" fillId="0" borderId="80" xfId="0" applyFont="1" applyBorder="1" applyAlignment="1" applyProtection="1">
      <alignment horizontal="center" vertical="center"/>
      <protection locked="0"/>
    </xf>
    <xf numFmtId="1" fontId="12" fillId="0" borderId="41" xfId="0" applyNumberFormat="1" applyFont="1" applyBorder="1" applyAlignment="1" applyProtection="1">
      <alignment horizontal="center" vertical="center"/>
      <protection locked="0"/>
    </xf>
    <xf numFmtId="1" fontId="2" fillId="0" borderId="31" xfId="0" applyNumberFormat="1" applyFont="1" applyBorder="1" applyAlignment="1">
      <alignment horizontal="center" vertical="center" wrapText="1"/>
    </xf>
    <xf numFmtId="1" fontId="2" fillId="0" borderId="80" xfId="0" applyNumberFormat="1" applyFont="1" applyBorder="1" applyAlignment="1">
      <alignment horizontal="center" vertical="center" wrapText="1"/>
    </xf>
    <xf numFmtId="1" fontId="2" fillId="0" borderId="26" xfId="0" applyNumberFormat="1" applyFont="1" applyBorder="1" applyAlignment="1">
      <alignment horizontal="center" vertical="center" wrapText="1"/>
    </xf>
    <xf numFmtId="0" fontId="0" fillId="0" borderId="101" xfId="0" applyBorder="1"/>
    <xf numFmtId="0" fontId="5" fillId="23" borderId="2" xfId="0" applyFont="1" applyFill="1" applyBorder="1" applyAlignment="1">
      <alignment horizontal="center" vertical="center"/>
    </xf>
    <xf numFmtId="0" fontId="0" fillId="24" borderId="63" xfId="0" applyFill="1" applyBorder="1" applyAlignment="1">
      <alignment horizontal="center"/>
    </xf>
    <xf numFmtId="0" fontId="0" fillId="24" borderId="37" xfId="0" applyFill="1" applyBorder="1" applyAlignment="1">
      <alignment horizontal="center"/>
    </xf>
    <xf numFmtId="0" fontId="11" fillId="25" borderId="7" xfId="0" applyFont="1" applyFill="1" applyBorder="1" applyAlignment="1" applyProtection="1">
      <alignment horizontal="center" vertical="center"/>
      <protection locked="0"/>
    </xf>
    <xf numFmtId="0" fontId="14" fillId="25" borderId="11" xfId="0" applyFont="1" applyFill="1" applyBorder="1" applyAlignment="1">
      <alignment horizontal="center" vertical="center"/>
    </xf>
    <xf numFmtId="0" fontId="0" fillId="24" borderId="77" xfId="0" applyFill="1" applyBorder="1" applyAlignment="1">
      <alignment horizontal="center"/>
    </xf>
    <xf numFmtId="0" fontId="12" fillId="0" borderId="10" xfId="0" applyFont="1" applyBorder="1" applyAlignment="1" applyProtection="1">
      <alignment horizontal="center" vertical="center"/>
      <protection locked="0"/>
    </xf>
    <xf numFmtId="0" fontId="0" fillId="0" borderId="75" xfId="0" applyBorder="1" applyAlignment="1" applyProtection="1">
      <alignment horizontal="center"/>
      <protection locked="0"/>
    </xf>
    <xf numFmtId="0" fontId="0" fillId="0" borderId="76" xfId="0" applyBorder="1" applyAlignment="1" applyProtection="1">
      <alignment horizontal="center"/>
      <protection locked="0"/>
    </xf>
    <xf numFmtId="0" fontId="2" fillId="0" borderId="0" xfId="0" applyFont="1" applyAlignment="1">
      <alignment horizontal="center" vertical="center"/>
    </xf>
    <xf numFmtId="165" fontId="12" fillId="0" borderId="10" xfId="0" applyNumberFormat="1" applyFont="1" applyBorder="1" applyAlignment="1" applyProtection="1">
      <alignment horizontal="center" vertical="center"/>
      <protection locked="0"/>
    </xf>
    <xf numFmtId="0" fontId="12" fillId="0" borderId="12" xfId="0" applyFont="1" applyBorder="1" applyAlignment="1" applyProtection="1">
      <alignment horizontal="center" vertical="center"/>
      <protection locked="0"/>
    </xf>
    <xf numFmtId="164" fontId="12" fillId="0" borderId="8" xfId="0" applyNumberFormat="1" applyFont="1" applyBorder="1" applyAlignment="1" applyProtection="1">
      <alignment horizontal="center" vertical="center"/>
      <protection locked="0"/>
    </xf>
    <xf numFmtId="0" fontId="24" fillId="2" borderId="80" xfId="0" applyFont="1" applyFill="1" applyBorder="1" applyAlignment="1">
      <alignment horizontal="right" vertical="center"/>
    </xf>
    <xf numFmtId="0" fontId="24" fillId="2" borderId="55" xfId="0" applyFont="1" applyFill="1" applyBorder="1" applyAlignment="1">
      <alignment horizontal="right" vertical="center"/>
    </xf>
    <xf numFmtId="0" fontId="12" fillId="0" borderId="0" xfId="0" applyFont="1" applyBorder="1" applyAlignment="1" applyProtection="1">
      <alignment vertical="center"/>
      <protection locked="0"/>
    </xf>
    <xf numFmtId="0" fontId="0" fillId="0" borderId="0" xfId="0" applyBorder="1" applyProtection="1">
      <protection locked="0"/>
    </xf>
    <xf numFmtId="0" fontId="0" fillId="0" borderId="14" xfId="0" applyBorder="1" applyProtection="1">
      <protection locked="0"/>
    </xf>
    <xf numFmtId="0" fontId="4" fillId="16" borderId="4" xfId="0" applyFont="1" applyFill="1" applyBorder="1" applyAlignment="1">
      <alignment horizontal="center" vertical="center"/>
    </xf>
    <xf numFmtId="0" fontId="2" fillId="0" borderId="102" xfId="0" applyFont="1" applyBorder="1" applyAlignment="1">
      <alignment horizontal="center" vertical="center" wrapText="1"/>
    </xf>
    <xf numFmtId="0" fontId="2" fillId="0" borderId="82" xfId="0" applyFont="1" applyBorder="1" applyAlignment="1">
      <alignment horizontal="center" vertical="center" wrapText="1"/>
    </xf>
    <xf numFmtId="0" fontId="2" fillId="0" borderId="10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80" xfId="0" applyFont="1" applyBorder="1" applyAlignment="1">
      <alignment horizontal="center" vertical="center" wrapText="1"/>
    </xf>
    <xf numFmtId="0" fontId="2" fillId="0" borderId="26" xfId="0" applyFont="1" applyBorder="1" applyAlignment="1">
      <alignment horizontal="center" vertical="center" wrapText="1"/>
    </xf>
    <xf numFmtId="0" fontId="4" fillId="2" borderId="100" xfId="0" applyFont="1" applyFill="1" applyBorder="1" applyAlignment="1" applyProtection="1">
      <alignment horizontal="center" vertical="center" wrapText="1"/>
      <protection locked="0"/>
    </xf>
    <xf numFmtId="0" fontId="4" fillId="2" borderId="63" xfId="0" applyFont="1" applyFill="1" applyBorder="1" applyAlignment="1" applyProtection="1">
      <alignment horizontal="center" vertical="center" wrapText="1"/>
      <protection locked="0"/>
    </xf>
    <xf numFmtId="0" fontId="60" fillId="22" borderId="74" xfId="0" applyFont="1" applyFill="1" applyBorder="1" applyAlignment="1">
      <alignment horizontal="center" vertical="center" readingOrder="1"/>
    </xf>
    <xf numFmtId="0" fontId="60" fillId="22" borderId="26" xfId="0" applyFont="1" applyFill="1" applyBorder="1" applyAlignment="1">
      <alignment horizontal="center" vertical="center" readingOrder="1"/>
    </xf>
    <xf numFmtId="0" fontId="60" fillId="26" borderId="22" xfId="0" applyFont="1" applyFill="1" applyBorder="1" applyAlignment="1">
      <alignment horizontal="center" vertical="center" readingOrder="1"/>
    </xf>
    <xf numFmtId="0" fontId="60" fillId="26" borderId="26" xfId="0" applyFont="1" applyFill="1" applyBorder="1" applyAlignment="1">
      <alignment horizontal="center" vertical="center" readingOrder="1"/>
    </xf>
    <xf numFmtId="0" fontId="60" fillId="27" borderId="22" xfId="0" applyFont="1" applyFill="1" applyBorder="1" applyAlignment="1">
      <alignment horizontal="center" vertical="center" readingOrder="1"/>
    </xf>
    <xf numFmtId="0" fontId="60" fillId="27" borderId="26" xfId="0" applyFont="1" applyFill="1" applyBorder="1" applyAlignment="1">
      <alignment horizontal="center" vertical="center" readingOrder="1"/>
    </xf>
    <xf numFmtId="0" fontId="61" fillId="28" borderId="22" xfId="0" applyFont="1" applyFill="1" applyBorder="1" applyAlignment="1">
      <alignment horizontal="center" vertical="center" readingOrder="1"/>
    </xf>
    <xf numFmtId="0" fontId="4" fillId="2" borderId="17" xfId="0" applyFont="1" applyFill="1" applyBorder="1" applyAlignment="1">
      <alignment horizontal="center" vertical="center" wrapText="1"/>
    </xf>
    <xf numFmtId="0" fontId="0" fillId="0" borderId="17" xfId="0" applyBorder="1"/>
    <xf numFmtId="0" fontId="4" fillId="2" borderId="17" xfId="0" applyFont="1" applyFill="1" applyBorder="1" applyAlignment="1">
      <alignment horizontal="center" vertical="center" wrapText="1"/>
    </xf>
    <xf numFmtId="0" fontId="12" fillId="2" borderId="31" xfId="0" applyFont="1" applyFill="1" applyBorder="1" applyAlignment="1" applyProtection="1">
      <alignment horizontal="center" vertical="center"/>
      <protection locked="0"/>
    </xf>
    <xf numFmtId="0" fontId="4" fillId="2" borderId="24" xfId="0" applyFont="1" applyFill="1" applyBorder="1" applyAlignment="1">
      <alignment horizontal="center" vertical="center" wrapText="1"/>
    </xf>
    <xf numFmtId="0" fontId="0" fillId="0" borderId="23" xfId="0" applyBorder="1"/>
    <xf numFmtId="0" fontId="4" fillId="2" borderId="24" xfId="0" applyFont="1" applyFill="1" applyBorder="1" applyAlignment="1">
      <alignment horizontal="center" vertical="center" wrapText="1"/>
    </xf>
    <xf numFmtId="0" fontId="0" fillId="0" borderId="25" xfId="0" applyBorder="1"/>
    <xf numFmtId="0" fontId="0" fillId="0" borderId="47" xfId="0" applyBorder="1"/>
    <xf numFmtId="0" fontId="0" fillId="0" borderId="32" xfId="0" applyBorder="1"/>
    <xf numFmtId="0" fontId="2" fillId="0" borderId="0" xfId="0" applyFont="1" applyBorder="1" applyAlignment="1" applyProtection="1">
      <alignment vertical="center"/>
      <protection locked="0"/>
    </xf>
    <xf numFmtId="0" fontId="2" fillId="0" borderId="0" xfId="0" applyFont="1" applyBorder="1" applyAlignment="1" applyProtection="1">
      <alignment vertical="center"/>
      <protection locked="0"/>
    </xf>
    <xf numFmtId="0" fontId="20" fillId="0" borderId="0" xfId="0" applyFont="1" applyBorder="1" applyAlignment="1" applyProtection="1">
      <alignment vertical="center" wrapText="1"/>
      <protection locked="0"/>
    </xf>
    <xf numFmtId="166" fontId="2" fillId="0" borderId="28" xfId="0" applyNumberFormat="1" applyFont="1" applyBorder="1" applyAlignment="1" applyProtection="1">
      <alignment horizontal="center" vertical="center"/>
      <protection locked="0"/>
    </xf>
    <xf numFmtId="0" fontId="27" fillId="0" borderId="0" xfId="0" applyFont="1" applyBorder="1" applyAlignment="1" applyProtection="1">
      <alignment vertical="center"/>
      <protection locked="0"/>
    </xf>
    <xf numFmtId="0" fontId="2" fillId="0" borderId="0" xfId="0" applyFont="1" applyBorder="1" applyProtection="1">
      <protection locked="0"/>
    </xf>
    <xf numFmtId="9" fontId="33" fillId="2" borderId="41" xfId="0" applyNumberFormat="1" applyFont="1" applyFill="1" applyBorder="1" applyAlignment="1" applyProtection="1">
      <alignment horizontal="center" vertical="center" wrapText="1"/>
      <protection locked="0"/>
    </xf>
    <xf numFmtId="0" fontId="12" fillId="3" borderId="25" xfId="0" applyFont="1" applyFill="1" applyBorder="1" applyAlignment="1" applyProtection="1">
      <alignment horizontal="center" vertical="center"/>
      <protection locked="0"/>
    </xf>
    <xf numFmtId="1" fontId="12" fillId="0" borderId="41" xfId="0" applyNumberFormat="1" applyFont="1" applyBorder="1" applyAlignment="1" applyProtection="1">
      <alignment horizontal="center" vertical="center"/>
      <protection locked="0"/>
    </xf>
    <xf numFmtId="0" fontId="0" fillId="0" borderId="25" xfId="0" applyBorder="1" applyProtection="1">
      <protection locked="0"/>
    </xf>
    <xf numFmtId="0" fontId="0" fillId="0" borderId="41" xfId="0" applyBorder="1" applyProtection="1">
      <protection locked="0"/>
    </xf>
    <xf numFmtId="0" fontId="12" fillId="0" borderId="25" xfId="0" applyFont="1" applyBorder="1" applyAlignment="1" applyProtection="1">
      <alignment horizontal="center" vertical="center"/>
      <protection locked="0"/>
    </xf>
    <xf numFmtId="0" fontId="0" fillId="0" borderId="40" xfId="0" applyBorder="1" applyProtection="1">
      <protection locked="0"/>
    </xf>
    <xf numFmtId="166" fontId="2" fillId="0" borderId="44" xfId="0" applyNumberFormat="1" applyFont="1" applyBorder="1" applyAlignment="1" applyProtection="1">
      <alignment horizontal="center" vertical="center"/>
      <protection locked="0"/>
    </xf>
    <xf numFmtId="0" fontId="62" fillId="0" borderId="2" xfId="0" applyFont="1" applyBorder="1" applyAlignment="1" applyProtection="1">
      <alignment horizontal="center" vertical="center"/>
      <protection locked="0"/>
    </xf>
    <xf numFmtId="0" fontId="12" fillId="2" borderId="14" xfId="0" applyFont="1" applyFill="1" applyBorder="1" applyAlignment="1" applyProtection="1">
      <alignment horizontal="center" vertical="center"/>
      <protection locked="0"/>
    </xf>
    <xf numFmtId="9" fontId="33" fillId="2" borderId="15" xfId="0" applyNumberFormat="1" applyFont="1" applyFill="1" applyBorder="1" applyAlignment="1" applyProtection="1">
      <alignment horizontal="center" vertical="center" wrapText="1"/>
      <protection locked="0"/>
    </xf>
    <xf numFmtId="0" fontId="4" fillId="2" borderId="36" xfId="0" applyFont="1" applyFill="1" applyBorder="1" applyAlignment="1" applyProtection="1">
      <alignment horizontal="center" vertical="center"/>
      <protection locked="0"/>
    </xf>
    <xf numFmtId="0" fontId="4" fillId="2" borderId="37" xfId="0" applyFont="1" applyFill="1" applyBorder="1" applyAlignment="1" applyProtection="1">
      <alignment horizontal="center" vertical="center" wrapText="1"/>
      <protection locked="0"/>
    </xf>
    <xf numFmtId="0" fontId="2" fillId="0" borderId="99" xfId="0" applyFont="1" applyBorder="1" applyAlignment="1">
      <alignment horizontal="center" vertical="center" wrapText="1"/>
    </xf>
    <xf numFmtId="0" fontId="2" fillId="0" borderId="85" xfId="0" applyFont="1" applyBorder="1" applyAlignment="1">
      <alignment horizontal="center" vertical="center" wrapText="1"/>
    </xf>
    <xf numFmtId="0" fontId="2" fillId="0" borderId="103"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104" xfId="0" applyFont="1" applyBorder="1" applyAlignment="1">
      <alignment horizontal="center" vertical="center" wrapText="1"/>
    </xf>
    <xf numFmtId="0" fontId="2" fillId="0" borderId="52" xfId="0" applyFont="1" applyBorder="1" applyAlignment="1">
      <alignment horizontal="center" vertical="center" wrapText="1"/>
    </xf>
    <xf numFmtId="9" fontId="12" fillId="0" borderId="39" xfId="0" applyNumberFormat="1" applyFont="1" applyBorder="1" applyAlignment="1" applyProtection="1">
      <alignment horizontal="center" vertical="center"/>
      <protection locked="0"/>
    </xf>
    <xf numFmtId="0" fontId="2" fillId="0" borderId="51" xfId="0" applyFont="1" applyBorder="1" applyAlignment="1" applyProtection="1">
      <alignment vertical="center"/>
      <protection locked="0"/>
    </xf>
    <xf numFmtId="9" fontId="12" fillId="2" borderId="51" xfId="0" applyNumberFormat="1" applyFont="1" applyFill="1" applyBorder="1" applyAlignment="1" applyProtection="1">
      <alignment horizontal="center" vertical="center"/>
      <protection locked="0"/>
    </xf>
    <xf numFmtId="0" fontId="4" fillId="2" borderId="36" xfId="0" applyFont="1" applyFill="1" applyBorder="1" applyAlignment="1">
      <alignment horizontal="center" vertical="center" wrapText="1"/>
    </xf>
    <xf numFmtId="0" fontId="12" fillId="2" borderId="81" xfId="0" applyFont="1" applyFill="1" applyBorder="1" applyAlignment="1" applyProtection="1">
      <alignment horizontal="center" vertical="center"/>
      <protection locked="0"/>
    </xf>
    <xf numFmtId="0" fontId="12" fillId="2" borderId="103" xfId="0" applyFont="1" applyFill="1" applyBorder="1" applyAlignment="1" applyProtection="1">
      <alignment horizontal="center" vertical="center"/>
      <protection locked="0"/>
    </xf>
    <xf numFmtId="0" fontId="12" fillId="2" borderId="106" xfId="0" applyFont="1" applyFill="1" applyBorder="1" applyAlignment="1" applyProtection="1">
      <alignment horizontal="center" vertical="center"/>
      <protection locked="0"/>
    </xf>
    <xf numFmtId="166" fontId="2" fillId="0" borderId="39" xfId="0" applyNumberFormat="1" applyFont="1" applyBorder="1" applyAlignment="1" applyProtection="1">
      <alignment vertical="center" wrapText="1"/>
      <protection locked="0"/>
    </xf>
    <xf numFmtId="9" fontId="12" fillId="0" borderId="46" xfId="0" applyNumberFormat="1" applyFont="1" applyBorder="1" applyAlignment="1">
      <alignment horizontal="center" vertical="center"/>
    </xf>
    <xf numFmtId="0" fontId="4" fillId="3" borderId="17" xfId="0" applyFont="1" applyFill="1" applyBorder="1" applyAlignment="1">
      <alignment horizontal="center" vertical="center"/>
    </xf>
    <xf numFmtId="0" fontId="34" fillId="0" borderId="17" xfId="0" applyFont="1" applyBorder="1" applyAlignment="1">
      <alignment vertical="center"/>
    </xf>
    <xf numFmtId="0" fontId="34" fillId="0" borderId="17" xfId="0" applyFont="1" applyBorder="1" applyAlignment="1" applyProtection="1">
      <alignment vertical="center"/>
      <protection locked="0"/>
    </xf>
    <xf numFmtId="9" fontId="12" fillId="0" borderId="17" xfId="0" applyNumberFormat="1" applyFont="1" applyBorder="1" applyAlignment="1">
      <alignment horizontal="center" vertical="center"/>
    </xf>
    <xf numFmtId="1" fontId="2" fillId="9" borderId="39" xfId="0" applyNumberFormat="1" applyFont="1" applyFill="1" applyBorder="1" applyAlignment="1">
      <alignment horizontal="center" vertical="center" wrapText="1"/>
    </xf>
    <xf numFmtId="0" fontId="10" fillId="9" borderId="39" xfId="0" applyFont="1" applyFill="1" applyBorder="1" applyAlignment="1">
      <alignment horizontal="center" vertical="center" wrapText="1"/>
    </xf>
    <xf numFmtId="0" fontId="2" fillId="0" borderId="39" xfId="0" applyFont="1" applyBorder="1" applyAlignment="1">
      <alignment vertical="center" wrapText="1"/>
    </xf>
    <xf numFmtId="1" fontId="12" fillId="0" borderId="39" xfId="0" applyNumberFormat="1" applyFont="1" applyBorder="1" applyAlignment="1" applyProtection="1">
      <alignment horizontal="center" vertical="center"/>
      <protection locked="0"/>
    </xf>
    <xf numFmtId="172" fontId="2" fillId="0" borderId="39" xfId="0" applyNumberFormat="1" applyFont="1" applyBorder="1" applyAlignment="1" applyProtection="1">
      <alignment horizontal="center" vertical="center"/>
      <protection locked="0"/>
    </xf>
    <xf numFmtId="0" fontId="4" fillId="2" borderId="20" xfId="0" applyFont="1" applyFill="1" applyBorder="1" applyAlignment="1">
      <alignment horizontal="center" vertical="center"/>
    </xf>
    <xf numFmtId="9" fontId="33" fillId="2" borderId="105" xfId="0" applyNumberFormat="1" applyFont="1" applyFill="1" applyBorder="1" applyAlignment="1">
      <alignment horizontal="center" vertical="center" wrapText="1"/>
    </xf>
    <xf numFmtId="9" fontId="33" fillId="2" borderId="20" xfId="0" applyNumberFormat="1" applyFont="1" applyFill="1" applyBorder="1" applyAlignment="1">
      <alignment horizontal="center" vertical="center" wrapText="1"/>
    </xf>
    <xf numFmtId="0" fontId="10" fillId="9" borderId="43" xfId="0" applyFont="1" applyFill="1" applyBorder="1" applyAlignment="1">
      <alignment horizontal="center" vertical="center" wrapText="1"/>
    </xf>
    <xf numFmtId="0" fontId="2" fillId="0" borderId="43" xfId="0" applyFont="1" applyBorder="1" applyAlignment="1">
      <alignment vertical="center" wrapText="1"/>
    </xf>
    <xf numFmtId="1" fontId="12" fillId="0" borderId="43" xfId="0" applyNumberFormat="1" applyFont="1" applyBorder="1" applyAlignment="1" applyProtection="1">
      <alignment horizontal="center" vertical="center"/>
      <protection locked="0"/>
    </xf>
    <xf numFmtId="172" fontId="2" fillId="0" borderId="43" xfId="0" applyNumberFormat="1" applyFont="1" applyBorder="1" applyAlignment="1" applyProtection="1">
      <alignment horizontal="center" vertical="center"/>
      <protection locked="0"/>
    </xf>
    <xf numFmtId="1" fontId="2" fillId="0" borderId="84" xfId="0" applyNumberFormat="1" applyFont="1" applyBorder="1" applyAlignment="1">
      <alignment horizontal="center" vertical="center" wrapText="1"/>
    </xf>
    <xf numFmtId="1" fontId="2" fillId="0" borderId="54" xfId="0" applyNumberFormat="1" applyFont="1" applyBorder="1" applyAlignment="1">
      <alignment horizontal="center" vertical="center" wrapText="1"/>
    </xf>
    <xf numFmtId="1" fontId="2" fillId="0" borderId="74" xfId="0" applyNumberFormat="1" applyFont="1" applyBorder="1" applyAlignment="1">
      <alignment horizontal="center" vertical="center" wrapText="1"/>
    </xf>
    <xf numFmtId="172" fontId="37" fillId="0" borderId="39" xfId="0" applyNumberFormat="1" applyFont="1" applyBorder="1" applyAlignment="1" applyProtection="1">
      <alignment horizontal="center" vertical="center"/>
      <protection locked="0"/>
    </xf>
    <xf numFmtId="0" fontId="4" fillId="2" borderId="100" xfId="0" applyFont="1" applyFill="1" applyBorder="1" applyAlignment="1">
      <alignment horizontal="center" vertical="center"/>
    </xf>
    <xf numFmtId="0" fontId="4" fillId="2" borderId="63" xfId="0" applyFont="1" applyFill="1" applyBorder="1" applyAlignment="1">
      <alignment horizontal="center" vertical="center"/>
    </xf>
    <xf numFmtId="0" fontId="4" fillId="2" borderId="19" xfId="0" applyFont="1" applyFill="1" applyBorder="1" applyAlignment="1">
      <alignment horizontal="center" vertical="center"/>
    </xf>
    <xf numFmtId="0" fontId="4" fillId="2" borderId="100" xfId="0" applyFont="1" applyFill="1" applyBorder="1" applyAlignment="1">
      <alignment horizontal="center" vertical="center" wrapText="1"/>
    </xf>
    <xf numFmtId="0" fontId="4" fillId="2" borderId="63"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2" fillId="0" borderId="0" xfId="0" applyFont="1" applyBorder="1" applyAlignment="1" applyProtection="1">
      <alignment horizontal="center" vertical="center"/>
      <protection locked="0"/>
    </xf>
    <xf numFmtId="0" fontId="4" fillId="2" borderId="28" xfId="0" applyFont="1" applyFill="1" applyBorder="1" applyAlignment="1">
      <alignment horizontal="center" vertical="center" wrapText="1"/>
    </xf>
    <xf numFmtId="0" fontId="34" fillId="0" borderId="28" xfId="0" applyFont="1" applyBorder="1" applyAlignment="1" applyProtection="1">
      <alignment vertical="center"/>
      <protection locked="0"/>
    </xf>
    <xf numFmtId="0" fontId="2" fillId="0" borderId="28" xfId="0" applyFont="1" applyBorder="1" applyAlignment="1" applyProtection="1">
      <alignment vertical="center"/>
      <protection locked="0"/>
    </xf>
    <xf numFmtId="0" fontId="24" fillId="12" borderId="107" xfId="0" applyFont="1" applyFill="1" applyBorder="1" applyAlignment="1" applyProtection="1">
      <alignment horizontal="right" vertical="center"/>
      <protection locked="0"/>
    </xf>
    <xf numFmtId="0" fontId="15" fillId="12" borderId="5" xfId="0" applyFont="1" applyFill="1" applyBorder="1" applyAlignment="1" applyProtection="1">
      <alignment horizontal="right" vertical="center"/>
      <protection locked="0"/>
    </xf>
    <xf numFmtId="0" fontId="15" fillId="12" borderId="0" xfId="0" applyFont="1" applyFill="1" applyBorder="1" applyAlignment="1" applyProtection="1">
      <alignment horizontal="right" vertical="center"/>
      <protection locked="0"/>
    </xf>
    <xf numFmtId="0" fontId="24" fillId="12" borderId="0" xfId="0" applyFont="1" applyFill="1" applyBorder="1" applyAlignment="1" applyProtection="1">
      <alignment horizontal="right" vertical="center"/>
      <protection locked="0"/>
    </xf>
    <xf numFmtId="0" fontId="24" fillId="12" borderId="13" xfId="0" applyFont="1" applyFill="1" applyBorder="1" applyAlignment="1" applyProtection="1">
      <alignment horizontal="right" vertical="center"/>
      <protection locked="0"/>
    </xf>
    <xf numFmtId="0" fontId="15" fillId="0" borderId="5" xfId="0" applyFont="1" applyBorder="1" applyAlignment="1" applyProtection="1">
      <alignment horizontal="right" vertical="center"/>
      <protection locked="0"/>
    </xf>
    <xf numFmtId="0" fontId="15" fillId="0" borderId="0" xfId="0" applyFont="1" applyBorder="1" applyAlignment="1" applyProtection="1">
      <alignment horizontal="right" vertical="center"/>
      <protection locked="0"/>
    </xf>
    <xf numFmtId="0" fontId="12" fillId="0" borderId="34" xfId="0" applyFont="1" applyBorder="1" applyAlignment="1">
      <alignment horizontal="center" vertical="center"/>
    </xf>
    <xf numFmtId="0" fontId="12" fillId="0" borderId="18" xfId="0" applyFont="1" applyBorder="1" applyAlignment="1">
      <alignment horizontal="center" vertical="center"/>
    </xf>
    <xf numFmtId="0" fontId="0" fillId="0" borderId="108" xfId="0" applyBorder="1"/>
    <xf numFmtId="0" fontId="12" fillId="0" borderId="38" xfId="0" applyFont="1" applyBorder="1" applyAlignment="1">
      <alignment horizontal="center" vertical="center"/>
    </xf>
    <xf numFmtId="0" fontId="37" fillId="0" borderId="28" xfId="0" applyFont="1" applyBorder="1" applyAlignment="1" applyProtection="1">
      <alignment vertical="center"/>
      <protection locked="0"/>
    </xf>
    <xf numFmtId="0" fontId="12" fillId="0" borderId="21" xfId="0" applyFont="1" applyBorder="1" applyAlignment="1">
      <alignment horizontal="center" vertical="center"/>
    </xf>
    <xf numFmtId="0" fontId="12" fillId="0" borderId="25" xfId="0" applyFont="1" applyBorder="1" applyAlignment="1">
      <alignment horizontal="center" vertical="center"/>
    </xf>
    <xf numFmtId="0" fontId="24" fillId="2" borderId="25" xfId="0" applyFont="1" applyFill="1" applyBorder="1" applyAlignment="1">
      <alignment horizontal="right" vertical="center"/>
    </xf>
    <xf numFmtId="0" fontId="2" fillId="0" borderId="28" xfId="0" applyFont="1" applyBorder="1" applyAlignment="1" applyProtection="1">
      <alignment horizontal="center" vertical="center"/>
      <protection locked="0"/>
    </xf>
    <xf numFmtId="0" fontId="24" fillId="2" borderId="103" xfId="0" applyFont="1" applyFill="1" applyBorder="1" applyAlignment="1">
      <alignment horizontal="right" vertical="center"/>
    </xf>
    <xf numFmtId="0" fontId="0" fillId="0" borderId="28" xfId="0" applyBorder="1" applyProtection="1">
      <protection locked="0"/>
    </xf>
    <xf numFmtId="0" fontId="15" fillId="2" borderId="5" xfId="0" applyFont="1" applyFill="1" applyBorder="1" applyAlignment="1">
      <alignment horizontal="right" vertical="center"/>
    </xf>
    <xf numFmtId="0" fontId="15" fillId="2" borderId="0" xfId="0" applyFont="1" applyFill="1" applyBorder="1" applyAlignment="1">
      <alignment horizontal="right" vertical="center"/>
    </xf>
    <xf numFmtId="0" fontId="2" fillId="0" borderId="28" xfId="0" applyFont="1" applyBorder="1" applyAlignment="1" applyProtection="1">
      <alignment horizontal="center" vertical="center"/>
      <protection locked="0"/>
    </xf>
    <xf numFmtId="0" fontId="24" fillId="0" borderId="21" xfId="0" applyFont="1" applyBorder="1" applyAlignment="1">
      <alignment horizontal="center" vertical="center" wrapText="1"/>
    </xf>
    <xf numFmtId="9" fontId="28" fillId="0" borderId="23" xfId="0" applyNumberFormat="1" applyFont="1" applyBorder="1" applyAlignment="1">
      <alignment horizontal="center" vertical="center"/>
    </xf>
    <xf numFmtId="0" fontId="15" fillId="0" borderId="32" xfId="0" applyFont="1" applyBorder="1" applyAlignment="1">
      <alignment horizontal="center" vertical="center"/>
    </xf>
    <xf numFmtId="0" fontId="15" fillId="0" borderId="32" xfId="0" applyFont="1" applyBorder="1" applyAlignment="1">
      <alignment horizontal="center" vertical="center"/>
    </xf>
    <xf numFmtId="0" fontId="12" fillId="0" borderId="32" xfId="0" applyFont="1" applyBorder="1" applyAlignment="1">
      <alignment horizontal="center" vertical="center"/>
    </xf>
    <xf numFmtId="1" fontId="30" fillId="0" borderId="32" xfId="0" applyNumberFormat="1" applyFont="1" applyBorder="1" applyAlignment="1">
      <alignment horizontal="center" vertical="center"/>
    </xf>
    <xf numFmtId="49" fontId="25" fillId="17" borderId="51" xfId="0" applyNumberFormat="1" applyFont="1" applyFill="1" applyBorder="1" applyAlignment="1">
      <alignment horizontal="right"/>
    </xf>
    <xf numFmtId="0" fontId="2" fillId="0" borderId="44" xfId="0" applyFont="1" applyBorder="1" applyAlignment="1" applyProtection="1">
      <alignment horizontal="center" vertical="center"/>
      <protection locked="0"/>
    </xf>
    <xf numFmtId="0" fontId="4" fillId="3" borderId="2" xfId="0" applyFont="1" applyFill="1" applyBorder="1" applyAlignment="1">
      <alignment horizontal="center" vertical="center"/>
    </xf>
    <xf numFmtId="0" fontId="41" fillId="16" borderId="0" xfId="0" applyFont="1" applyFill="1" applyAlignment="1">
      <alignment horizontal="center" vertical="center"/>
    </xf>
    <xf numFmtId="0" fontId="4" fillId="20" borderId="43" xfId="0" applyFont="1" applyFill="1" applyBorder="1" applyAlignment="1" applyProtection="1">
      <alignment horizontal="center" vertical="center"/>
      <protection locked="0"/>
    </xf>
    <xf numFmtId="0" fontId="4" fillId="20" borderId="43" xfId="0" applyFont="1" applyFill="1" applyBorder="1" applyAlignment="1">
      <alignment horizontal="center" vertical="center"/>
    </xf>
    <xf numFmtId="0" fontId="4" fillId="13" borderId="17" xfId="0" applyFont="1" applyFill="1" applyBorder="1" applyAlignment="1">
      <alignment horizontal="center" vertical="center"/>
    </xf>
    <xf numFmtId="0" fontId="60" fillId="22" borderId="17" xfId="0" applyFont="1" applyFill="1" applyBorder="1" applyAlignment="1">
      <alignment horizontal="center" vertical="center" readingOrder="1"/>
    </xf>
    <xf numFmtId="0" fontId="60" fillId="26" borderId="17" xfId="0" applyFont="1" applyFill="1" applyBorder="1" applyAlignment="1">
      <alignment horizontal="center" vertical="center" readingOrder="1"/>
    </xf>
    <xf numFmtId="0" fontId="32" fillId="8" borderId="17" xfId="0" applyFont="1" applyFill="1" applyBorder="1" applyAlignment="1">
      <alignment horizontal="center" vertical="center" readingOrder="1"/>
    </xf>
    <xf numFmtId="0" fontId="60" fillId="27" borderId="17" xfId="0" applyFont="1" applyFill="1" applyBorder="1" applyAlignment="1">
      <alignment horizontal="center" vertical="center" readingOrder="1"/>
    </xf>
    <xf numFmtId="0" fontId="32" fillId="11" borderId="17" xfId="0" applyFont="1" applyFill="1" applyBorder="1" applyAlignment="1">
      <alignment horizontal="center" vertical="center" readingOrder="1"/>
    </xf>
    <xf numFmtId="0" fontId="61" fillId="28" borderId="17" xfId="0" applyFont="1" applyFill="1" applyBorder="1" applyAlignment="1">
      <alignment horizontal="center" vertical="center" readingOrder="1"/>
    </xf>
    <xf numFmtId="0" fontId="21" fillId="0" borderId="17" xfId="0" applyFont="1" applyFill="1" applyBorder="1" applyAlignment="1">
      <alignment horizontal="left" vertical="center" wrapText="1" indent="2" readingOrder="1"/>
    </xf>
    <xf numFmtId="0" fontId="21" fillId="0" borderId="17" xfId="0" applyFont="1" applyFill="1" applyBorder="1" applyAlignment="1">
      <alignment horizontal="center" vertical="center" wrapText="1"/>
    </xf>
    <xf numFmtId="0" fontId="56" fillId="0" borderId="17" xfId="0" applyFont="1" applyFill="1" applyBorder="1" applyAlignment="1">
      <alignment horizontal="left" vertical="center" wrapText="1" indent="1"/>
    </xf>
    <xf numFmtId="0" fontId="23" fillId="0" borderId="17" xfId="0" applyFont="1" applyFill="1" applyBorder="1" applyAlignment="1">
      <alignment horizontal="center" vertical="center" wrapText="1"/>
    </xf>
    <xf numFmtId="0" fontId="57" fillId="0" borderId="17" xfId="0" applyFont="1" applyFill="1" applyBorder="1" applyAlignment="1">
      <alignment horizontal="left" vertical="center" wrapText="1" indent="1"/>
    </xf>
  </cellXfs>
  <cellStyles count="2">
    <cellStyle name="Normal" xfId="0" builtinId="0"/>
    <cellStyle name="Normal 5" xfId="1" xr:uid="{00000000-0005-0000-0000-000006000000}"/>
  </cellStyles>
  <dxfs count="8">
    <dxf>
      <fill>
        <patternFill>
          <bgColor theme="4" tint="0.39988402966399123"/>
        </patternFill>
      </fill>
    </dxf>
    <dxf>
      <fill>
        <patternFill>
          <bgColor theme="4" tint="0.39988402966399123"/>
        </patternFill>
      </fill>
    </dxf>
    <dxf>
      <font>
        <color rgb="FF9C0006"/>
      </font>
      <fill>
        <patternFill>
          <bgColor rgb="FFFFC7CE"/>
        </patternFill>
      </fill>
    </dxf>
    <dxf>
      <fill>
        <patternFill>
          <bgColor theme="4" tint="0.39988402966399123"/>
        </patternFill>
      </fill>
    </dxf>
    <dxf>
      <fill>
        <patternFill>
          <bgColor theme="4" tint="0.39988402966399123"/>
        </patternFill>
      </fill>
    </dxf>
    <dxf>
      <font>
        <color rgb="FFFFFFFF"/>
      </font>
    </dxf>
    <dxf>
      <font>
        <b/>
        <color rgb="FFFFFFFF"/>
      </font>
      <fill>
        <patternFill>
          <bgColor rgb="FF000080"/>
        </patternFill>
      </fill>
    </dxf>
    <dxf>
      <font>
        <b/>
        <color rgb="FF000000"/>
      </font>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DDD9C3"/>
      <rgbColor rgb="FFFF00FF"/>
      <rgbColor rgb="FF00FFFF"/>
      <rgbColor rgb="FF9C0006"/>
      <rgbColor rgb="FF008000"/>
      <rgbColor rgb="FF000080"/>
      <rgbColor rgb="FF808000"/>
      <rgbColor rgb="FF800080"/>
      <rgbColor rgb="FF008080"/>
      <rgbColor rgb="FFC0C0C0"/>
      <rgbColor rgb="FF808080"/>
      <rgbColor rgb="FF95B3D7"/>
      <rgbColor rgb="FF993366"/>
      <rgbColor rgb="FFEBF1DE"/>
      <rgbColor rgb="FFDCE6F2"/>
      <rgbColor rgb="FF660066"/>
      <rgbColor rgb="FFE6B9B8"/>
      <rgbColor rgb="FF0066CC"/>
      <rgbColor rgb="FFD9D9D9"/>
      <rgbColor rgb="FF002060"/>
      <rgbColor rgb="FFFF00FF"/>
      <rgbColor rgb="FFFFFF00"/>
      <rgbColor rgb="FF00FFFF"/>
      <rgbColor rgb="FF800080"/>
      <rgbColor rgb="FF800000"/>
      <rgbColor rgb="FF008080"/>
      <rgbColor rgb="FF0000FF"/>
      <rgbColor rgb="FF00CCFF"/>
      <rgbColor rgb="FFF2F2F2"/>
      <rgbColor rgb="FFE6E0EC"/>
      <rgbColor rgb="FFFDEADA"/>
      <rgbColor rgb="FFB7DEE8"/>
      <rgbColor rgb="FFFF99FF"/>
      <rgbColor rgb="FFBFBFBF"/>
      <rgbColor rgb="FFFFC7CE"/>
      <rgbColor rgb="FF3366FF"/>
      <rgbColor rgb="FF33CCCC"/>
      <rgbColor rgb="FFA6A6A6"/>
      <rgbColor rgb="FFFFC000"/>
      <rgbColor rgb="FFFF9900"/>
      <rgbColor rgb="FFFF6600"/>
      <rgbColor rgb="FF57595D"/>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25560</xdr:colOff>
      <xdr:row>1</xdr:row>
      <xdr:rowOff>546120</xdr:rowOff>
    </xdr:from>
    <xdr:to>
      <xdr:col>2</xdr:col>
      <xdr:colOff>668520</xdr:colOff>
      <xdr:row>3</xdr:row>
      <xdr:rowOff>191160</xdr:rowOff>
    </xdr:to>
    <xdr:pic>
      <xdr:nvPicPr>
        <xdr:cNvPr id="2" name="Picture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l="11536" t="36233" r="11498" b="37366"/>
        <a:stretch>
          <a:fillRect/>
        </a:stretch>
      </xdr:blipFill>
      <xdr:spPr>
        <a:xfrm>
          <a:off x="25560" y="746280"/>
          <a:ext cx="1465200" cy="502200"/>
        </a:xfrm>
        <a:prstGeom prst="rect">
          <a:avLst/>
        </a:prstGeom>
        <a:noFill/>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190500</xdr:colOff>
      <xdr:row>9</xdr:row>
      <xdr:rowOff>101600</xdr:rowOff>
    </xdr:from>
    <xdr:to>
      <xdr:col>23</xdr:col>
      <xdr:colOff>482600</xdr:colOff>
      <xdr:row>17</xdr:row>
      <xdr:rowOff>38100</xdr:rowOff>
    </xdr:to>
    <xdr:sp macro="" textlink="">
      <xdr:nvSpPr>
        <xdr:cNvPr id="5" name="Oval 4">
          <a:extLst>
            <a:ext uri="{FF2B5EF4-FFF2-40B4-BE49-F238E27FC236}">
              <a16:creationId xmlns:a16="http://schemas.microsoft.com/office/drawing/2014/main" id="{10751034-C3DB-219F-5127-D5F435605463}"/>
            </a:ext>
          </a:extLst>
        </xdr:cNvPr>
        <xdr:cNvSpPr/>
      </xdr:nvSpPr>
      <xdr:spPr>
        <a:xfrm>
          <a:off x="12344400" y="1587500"/>
          <a:ext cx="1638300" cy="1536700"/>
        </a:xfrm>
        <a:prstGeom prst="ellipse">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ar-EG" sz="1200" b="0" i="0" u="none" strike="noStrike">
              <a:solidFill>
                <a:schemeClr val="dk1"/>
              </a:solidFill>
              <a:effectLst/>
              <a:latin typeface="+mn-lt"/>
              <a:ea typeface="+mn-ea"/>
              <a:cs typeface="+mn-cs"/>
            </a:rPr>
            <a:t>من سنتين إلى خمس سنوات للوصول إلى الخطوة التالية</a:t>
          </a:r>
          <a:endParaRPr lang="en-US" sz="12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V2:AX12" totalsRowShown="0">
  <autoFilter ref="AV2:AX12" xr:uid="{00000000-0009-0000-0100-000001000000}"/>
  <tableColumns count="3">
    <tableColumn id="1" xr3:uid="{00000000-0010-0000-0000-000001000000}" name="الفئة الوظيفية"/>
    <tableColumn id="2" xr3:uid="{00000000-0010-0000-0000-000002000000}" name="هدف الالتزام"/>
    <tableColumn id="3" xr3:uid="{00000000-0010-0000-0000-000003000000}" name="المقياس"/>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66CC"/>
  </sheetPr>
  <dimension ref="A1:AW188"/>
  <sheetViews>
    <sheetView showGridLines="0" tabSelected="1" zoomScaleNormal="106" workbookViewId="0">
      <selection activeCell="H16" sqref="H16"/>
    </sheetView>
  </sheetViews>
  <sheetFormatPr baseColWidth="10" defaultColWidth="9.1640625" defaultRowHeight="15" x14ac:dyDescent="0.15"/>
  <cols>
    <col min="1" max="1" width="4" style="1" customWidth="1"/>
    <col min="2" max="2" width="7.6640625" style="1" customWidth="1"/>
    <col min="3" max="3" width="11.5" style="1" customWidth="1"/>
    <col min="4" max="4" width="14.33203125" style="1" customWidth="1"/>
    <col min="5" max="5" width="6.5" style="1" customWidth="1"/>
    <col min="6" max="6" width="13.33203125" style="1" customWidth="1"/>
    <col min="7" max="7" width="3.1640625" style="1" customWidth="1"/>
    <col min="8" max="8" width="25.33203125" style="1" customWidth="1"/>
    <col min="9" max="9" width="6.83203125" style="1" customWidth="1"/>
    <col min="10" max="10" width="3" style="1" bestFit="1" customWidth="1"/>
    <col min="11" max="11" width="13" style="1" customWidth="1"/>
    <col min="12" max="12" width="3" style="1" bestFit="1" customWidth="1"/>
    <col min="13" max="13" width="11.83203125" style="1" customWidth="1"/>
    <col min="14" max="32" width="5.6640625" style="1" customWidth="1"/>
    <col min="33" max="39" width="9.1640625" style="1" customWidth="1"/>
    <col min="40" max="40" width="23.1640625" style="1" customWidth="1"/>
    <col min="41" max="42" width="9.1640625" style="1" customWidth="1"/>
    <col min="43" max="43" width="6.5" style="1" customWidth="1"/>
    <col min="44" max="44" width="38.6640625" style="1" customWidth="1"/>
    <col min="45" max="45" width="23.1640625" style="2" customWidth="1"/>
    <col min="46" max="46" width="9.1640625" style="1" customWidth="1"/>
    <col min="47" max="16384" width="9.1640625" style="1"/>
  </cols>
  <sheetData>
    <row r="1" spans="1:49" s="4" customFormat="1" ht="15.75" customHeight="1" x14ac:dyDescent="0.15">
      <c r="A1" s="3"/>
      <c r="B1" s="3"/>
      <c r="C1" s="3"/>
      <c r="D1" s="3"/>
      <c r="E1" s="3"/>
      <c r="F1" s="3"/>
      <c r="G1" s="3"/>
      <c r="H1" s="3"/>
      <c r="I1" s="3"/>
      <c r="J1" s="3"/>
      <c r="K1" s="3"/>
      <c r="L1" s="3"/>
      <c r="M1" s="3"/>
      <c r="N1" s="3"/>
      <c r="AN1" s="5" t="s">
        <v>0</v>
      </c>
      <c r="AO1" s="5" t="s">
        <v>1</v>
      </c>
      <c r="AP1" s="5"/>
      <c r="AQ1" s="5" t="s">
        <v>2</v>
      </c>
      <c r="AR1" s="5" t="s">
        <v>3</v>
      </c>
      <c r="AS1" s="2"/>
    </row>
    <row r="2" spans="1:49" s="7" customFormat="1" ht="45" customHeight="1" x14ac:dyDescent="0.15">
      <c r="A2" s="366" t="s">
        <v>4</v>
      </c>
      <c r="B2" s="367"/>
      <c r="C2" s="367"/>
      <c r="D2" s="367"/>
      <c r="E2" s="367"/>
      <c r="F2" s="367"/>
      <c r="G2" s="367"/>
      <c r="H2" s="367"/>
      <c r="I2" s="367"/>
      <c r="J2" s="367"/>
      <c r="K2" s="367"/>
      <c r="L2" s="367"/>
      <c r="M2" s="367"/>
      <c r="N2" s="368"/>
      <c r="O2" s="6"/>
      <c r="P2" s="6"/>
      <c r="Q2" s="6"/>
      <c r="R2" s="6"/>
      <c r="S2" s="6"/>
      <c r="T2" s="6"/>
      <c r="U2" s="6"/>
      <c r="V2" s="6"/>
      <c r="W2" s="6"/>
      <c r="X2" s="6"/>
      <c r="Y2" s="6"/>
      <c r="Z2" s="6"/>
      <c r="AA2" s="6"/>
      <c r="AB2" s="6"/>
      <c r="AC2" s="6"/>
      <c r="AD2" s="6"/>
      <c r="AE2" s="6"/>
      <c r="AF2" s="6"/>
      <c r="AR2" s="8" t="s">
        <v>263</v>
      </c>
      <c r="AS2" s="9"/>
    </row>
    <row r="3" spans="1:49" s="4" customFormat="1" ht="22.5" customHeight="1" thickBot="1" x14ac:dyDescent="0.2">
      <c r="A3" s="166"/>
      <c r="B3" s="161"/>
      <c r="C3" s="161"/>
      <c r="D3" s="161"/>
      <c r="E3" s="165"/>
      <c r="F3" s="161"/>
      <c r="G3" s="161"/>
      <c r="H3" s="161"/>
      <c r="I3" s="161"/>
      <c r="J3" s="161"/>
      <c r="K3" s="161"/>
      <c r="L3" s="161"/>
      <c r="M3" s="161"/>
      <c r="N3" s="167"/>
      <c r="AN3" s="12" t="s">
        <v>5</v>
      </c>
      <c r="AQ3" s="13" t="s">
        <v>6</v>
      </c>
      <c r="AR3" s="8" t="s">
        <v>7</v>
      </c>
    </row>
    <row r="4" spans="1:49" s="4" customFormat="1" ht="21.75" customHeight="1" thickBot="1" x14ac:dyDescent="0.2">
      <c r="A4" s="168"/>
      <c r="B4" s="161"/>
      <c r="C4" s="161"/>
      <c r="D4" s="161"/>
      <c r="E4" s="161"/>
      <c r="F4" s="161"/>
      <c r="G4" s="161"/>
      <c r="I4" s="163" t="s">
        <v>8</v>
      </c>
      <c r="J4" s="369" t="s">
        <v>9</v>
      </c>
      <c r="K4" s="378"/>
      <c r="L4" s="369" t="s">
        <v>10</v>
      </c>
      <c r="M4" s="378"/>
      <c r="N4" s="169"/>
      <c r="AN4" s="12" t="s">
        <v>11</v>
      </c>
      <c r="AQ4" s="13" t="s">
        <v>12</v>
      </c>
      <c r="AR4" s="8" t="s">
        <v>13</v>
      </c>
    </row>
    <row r="5" spans="1:49" s="4" customFormat="1" ht="16.5" customHeight="1" thickBot="1" x14ac:dyDescent="0.2">
      <c r="A5" s="168"/>
      <c r="B5" s="161"/>
      <c r="C5" s="161"/>
      <c r="D5" s="161"/>
      <c r="E5" s="161"/>
      <c r="F5" s="161"/>
      <c r="G5" s="161"/>
      <c r="H5" s="161"/>
      <c r="I5" s="161"/>
      <c r="J5" s="161"/>
      <c r="K5" s="161"/>
      <c r="L5" s="161"/>
      <c r="M5" s="161"/>
      <c r="N5" s="169"/>
      <c r="AN5" s="12" t="s">
        <v>14</v>
      </c>
      <c r="AQ5" s="13" t="s">
        <v>15</v>
      </c>
      <c r="AR5" s="8" t="s">
        <v>16</v>
      </c>
    </row>
    <row r="6" spans="1:49" s="4" customFormat="1" ht="21.75" customHeight="1" x14ac:dyDescent="0.15">
      <c r="A6" s="168"/>
      <c r="B6" s="161"/>
      <c r="C6" s="164" t="s">
        <v>17</v>
      </c>
      <c r="D6" s="372"/>
      <c r="E6" s="373"/>
      <c r="F6" s="374"/>
      <c r="G6" s="161"/>
      <c r="H6" s="161"/>
      <c r="I6" s="164" t="s">
        <v>18</v>
      </c>
      <c r="J6" s="372"/>
      <c r="K6" s="373"/>
      <c r="L6" s="373"/>
      <c r="M6" s="374"/>
      <c r="N6" s="169"/>
      <c r="AN6" s="12" t="s">
        <v>19</v>
      </c>
      <c r="AQ6" s="13" t="s">
        <v>20</v>
      </c>
      <c r="AR6" s="8" t="s">
        <v>264</v>
      </c>
    </row>
    <row r="7" spans="1:49" s="4" customFormat="1" ht="3.75" customHeight="1" x14ac:dyDescent="0.15">
      <c r="A7" s="168"/>
      <c r="B7" s="161"/>
      <c r="C7" s="164"/>
      <c r="D7" s="16"/>
      <c r="E7" s="16"/>
      <c r="F7" s="16"/>
      <c r="G7" s="161"/>
      <c r="H7" s="161"/>
      <c r="I7" s="164"/>
      <c r="J7" s="372"/>
      <c r="K7" s="373"/>
      <c r="L7" s="373"/>
      <c r="M7" s="374"/>
      <c r="N7" s="169"/>
      <c r="AN7" s="12" t="s">
        <v>21</v>
      </c>
      <c r="AQ7" s="13" t="s">
        <v>22</v>
      </c>
      <c r="AR7" s="8" t="s">
        <v>265</v>
      </c>
    </row>
    <row r="8" spans="1:49" s="4" customFormat="1" ht="21.75" customHeight="1" x14ac:dyDescent="0.15">
      <c r="A8" s="168"/>
      <c r="B8" s="161"/>
      <c r="C8" s="164" t="s">
        <v>23</v>
      </c>
      <c r="D8" s="372"/>
      <c r="E8" s="373"/>
      <c r="F8" s="374"/>
      <c r="G8" s="161"/>
      <c r="H8" s="161"/>
      <c r="I8" s="164" t="s">
        <v>23</v>
      </c>
      <c r="J8" s="372"/>
      <c r="K8" s="373"/>
      <c r="L8" s="373"/>
      <c r="M8" s="374"/>
      <c r="N8" s="169"/>
      <c r="AN8" s="12" t="s">
        <v>24</v>
      </c>
      <c r="AQ8" s="13" t="s">
        <v>25</v>
      </c>
      <c r="AR8" s="8" t="s">
        <v>266</v>
      </c>
    </row>
    <row r="9" spans="1:49" s="4" customFormat="1" ht="4.5" customHeight="1" x14ac:dyDescent="0.15">
      <c r="A9" s="168"/>
      <c r="B9" s="161"/>
      <c r="C9" s="164"/>
      <c r="D9" s="16"/>
      <c r="E9" s="16"/>
      <c r="F9" s="16"/>
      <c r="G9" s="161"/>
      <c r="H9" s="161"/>
      <c r="I9" s="161"/>
      <c r="J9" s="16"/>
      <c r="K9" s="375"/>
      <c r="L9" s="375"/>
      <c r="M9" s="375"/>
      <c r="N9" s="169"/>
      <c r="AN9" s="12" t="s">
        <v>26</v>
      </c>
      <c r="AR9" s="8" t="s">
        <v>268</v>
      </c>
    </row>
    <row r="10" spans="1:49" s="4" customFormat="1" ht="21.75" customHeight="1" x14ac:dyDescent="0.15">
      <c r="A10" s="168"/>
      <c r="B10" s="161"/>
      <c r="C10" s="164" t="s">
        <v>0</v>
      </c>
      <c r="D10" s="372"/>
      <c r="E10" s="373"/>
      <c r="F10" s="374"/>
      <c r="G10" s="161"/>
      <c r="H10" s="161"/>
      <c r="I10" s="164" t="s">
        <v>27</v>
      </c>
      <c r="J10" s="376"/>
      <c r="K10" s="373"/>
      <c r="L10" s="373"/>
      <c r="M10" s="374"/>
      <c r="N10" s="169"/>
      <c r="AN10" s="12" t="s">
        <v>28</v>
      </c>
      <c r="AR10" s="8" t="s">
        <v>29</v>
      </c>
      <c r="AW10" s="18"/>
    </row>
    <row r="11" spans="1:49" s="4" customFormat="1" ht="3.75" customHeight="1" x14ac:dyDescent="0.15">
      <c r="A11" s="168"/>
      <c r="B11" s="161"/>
      <c r="C11" s="161"/>
      <c r="D11" s="16"/>
      <c r="E11" s="16"/>
      <c r="F11" s="16"/>
      <c r="G11" s="161"/>
      <c r="H11" s="161"/>
      <c r="I11" s="165"/>
      <c r="J11" s="16"/>
      <c r="K11" s="375"/>
      <c r="L11" s="375"/>
      <c r="M11" s="375"/>
      <c r="N11" s="169"/>
      <c r="AN11" s="12" t="s">
        <v>261</v>
      </c>
      <c r="AR11" s="8" t="s">
        <v>267</v>
      </c>
    </row>
    <row r="12" spans="1:49" s="4" customFormat="1" ht="18" customHeight="1" x14ac:dyDescent="0.15">
      <c r="A12" s="168"/>
      <c r="B12" s="161"/>
      <c r="C12" s="164" t="s">
        <v>30</v>
      </c>
      <c r="D12" s="372"/>
      <c r="E12" s="373"/>
      <c r="F12" s="374"/>
      <c r="G12" s="161"/>
      <c r="H12" s="161"/>
      <c r="I12" s="164" t="s">
        <v>3</v>
      </c>
      <c r="J12" s="376"/>
      <c r="K12" s="373"/>
      <c r="L12" s="373"/>
      <c r="M12" s="374"/>
      <c r="N12" s="169"/>
      <c r="AN12" s="12" t="s">
        <v>31</v>
      </c>
      <c r="AR12" s="8" t="s">
        <v>32</v>
      </c>
    </row>
    <row r="13" spans="1:49" s="4" customFormat="1" ht="3.75" customHeight="1" x14ac:dyDescent="0.15">
      <c r="A13" s="168"/>
      <c r="B13" s="161"/>
      <c r="C13" s="161"/>
      <c r="D13" s="375"/>
      <c r="E13" s="375"/>
      <c r="F13" s="375"/>
      <c r="G13" s="161"/>
      <c r="H13" s="161"/>
      <c r="I13" s="161"/>
      <c r="J13" s="161"/>
      <c r="K13" s="161"/>
      <c r="L13" s="161"/>
      <c r="M13" s="161"/>
      <c r="N13" s="169"/>
      <c r="AN13" s="12" t="s">
        <v>33</v>
      </c>
      <c r="AR13" s="19" t="s">
        <v>7</v>
      </c>
    </row>
    <row r="14" spans="1:49" s="4" customFormat="1" ht="16.5" customHeight="1" x14ac:dyDescent="0.15">
      <c r="A14" s="168"/>
      <c r="B14" s="161"/>
      <c r="C14" s="164" t="s">
        <v>2</v>
      </c>
      <c r="D14" s="372"/>
      <c r="E14" s="373"/>
      <c r="F14" s="374"/>
      <c r="G14" s="161"/>
      <c r="H14" s="161"/>
      <c r="I14" s="161"/>
      <c r="J14" s="161"/>
      <c r="K14" s="161"/>
      <c r="L14" s="161"/>
      <c r="M14" s="161"/>
      <c r="N14" s="169"/>
      <c r="AN14" s="12" t="s">
        <v>262</v>
      </c>
      <c r="AO14" s="13" t="s">
        <v>34</v>
      </c>
      <c r="AR14" s="8" t="s">
        <v>35</v>
      </c>
    </row>
    <row r="15" spans="1:49" s="4" customFormat="1" ht="20.25" customHeight="1" x14ac:dyDescent="0.15">
      <c r="A15" s="168"/>
      <c r="B15" s="161"/>
      <c r="C15" s="161"/>
      <c r="D15" s="161"/>
      <c r="E15" s="161"/>
      <c r="F15" s="161"/>
      <c r="G15" s="161"/>
      <c r="H15" s="161"/>
      <c r="I15" s="162"/>
      <c r="J15" s="162"/>
      <c r="K15" s="161"/>
      <c r="L15" s="161"/>
      <c r="M15" s="161"/>
      <c r="N15" s="169"/>
      <c r="AN15" s="12" t="s">
        <v>36</v>
      </c>
      <c r="AO15" s="13" t="s">
        <v>37</v>
      </c>
      <c r="AR15" s="8" t="s">
        <v>38</v>
      </c>
    </row>
    <row r="16" spans="1:49" s="4" customFormat="1" ht="20.25" customHeight="1" x14ac:dyDescent="0.15">
      <c r="A16" s="168"/>
      <c r="B16" s="161"/>
      <c r="C16" s="161"/>
      <c r="D16" s="370" t="s">
        <v>1</v>
      </c>
      <c r="E16" s="371"/>
      <c r="F16" s="371"/>
      <c r="G16" s="371"/>
      <c r="H16" s="377" t="s">
        <v>37</v>
      </c>
      <c r="I16" s="161"/>
      <c r="J16" s="161"/>
      <c r="K16" s="161"/>
      <c r="L16" s="161"/>
      <c r="M16" s="161"/>
      <c r="N16" s="169"/>
      <c r="AN16" s="12" t="s">
        <v>39</v>
      </c>
      <c r="AO16" s="13" t="s">
        <v>40</v>
      </c>
      <c r="AR16" s="8" t="s">
        <v>41</v>
      </c>
    </row>
    <row r="17" spans="1:44" s="4" customFormat="1" ht="20.25" customHeight="1" x14ac:dyDescent="0.15">
      <c r="A17" s="168"/>
      <c r="B17" s="161"/>
      <c r="C17" s="161"/>
      <c r="D17" s="174"/>
      <c r="E17" s="175"/>
      <c r="F17" s="175"/>
      <c r="G17" s="175"/>
      <c r="H17" s="162"/>
      <c r="I17" s="161"/>
      <c r="J17" s="161"/>
      <c r="K17" s="161"/>
      <c r="L17" s="161"/>
      <c r="M17" s="161"/>
      <c r="N17" s="169"/>
      <c r="AN17" s="12" t="s">
        <v>42</v>
      </c>
      <c r="AO17" s="13" t="s">
        <v>43</v>
      </c>
      <c r="AR17" s="8" t="s">
        <v>44</v>
      </c>
    </row>
    <row r="18" spans="1:44" s="4" customFormat="1" ht="20.25" customHeight="1" x14ac:dyDescent="0.15">
      <c r="A18" s="168"/>
      <c r="B18" s="161"/>
      <c r="C18" s="161"/>
      <c r="D18" s="161"/>
      <c r="E18" s="161"/>
      <c r="F18" s="161"/>
      <c r="G18" s="161"/>
      <c r="H18" s="161"/>
      <c r="I18" s="161"/>
      <c r="J18" s="161"/>
      <c r="K18" s="161"/>
      <c r="L18" s="161"/>
      <c r="M18" s="161"/>
      <c r="N18" s="169"/>
      <c r="AN18" s="12" t="s">
        <v>45</v>
      </c>
      <c r="AR18" s="8" t="s">
        <v>46</v>
      </c>
    </row>
    <row r="19" spans="1:44" s="4" customFormat="1" ht="15.75" customHeight="1" x14ac:dyDescent="0.15">
      <c r="A19" s="168"/>
      <c r="B19" s="161"/>
      <c r="C19" s="161"/>
      <c r="D19" s="161"/>
      <c r="E19" s="161"/>
      <c r="F19" s="161"/>
      <c r="G19" s="161"/>
      <c r="H19" s="161"/>
      <c r="I19" s="161"/>
      <c r="J19" s="161"/>
      <c r="K19" s="161"/>
      <c r="L19" s="161"/>
      <c r="M19" s="161"/>
      <c r="N19" s="169"/>
      <c r="AN19" s="12" t="s">
        <v>47</v>
      </c>
    </row>
    <row r="20" spans="1:44" s="4" customFormat="1" ht="15.75" customHeight="1" x14ac:dyDescent="0.15">
      <c r="A20" s="168"/>
      <c r="B20" s="161"/>
      <c r="C20" s="161"/>
      <c r="D20" s="161"/>
      <c r="E20" s="161"/>
      <c r="F20" s="161"/>
      <c r="G20" s="161"/>
      <c r="H20" s="161"/>
      <c r="I20" s="161"/>
      <c r="J20" s="161"/>
      <c r="K20" s="161"/>
      <c r="L20" s="161"/>
      <c r="M20" s="161"/>
      <c r="N20" s="169"/>
      <c r="AN20" s="12" t="s">
        <v>48</v>
      </c>
    </row>
    <row r="21" spans="1:44" s="4" customFormat="1" ht="15.75" customHeight="1" x14ac:dyDescent="0.15">
      <c r="A21" s="173"/>
      <c r="B21" s="171"/>
      <c r="C21" s="171"/>
      <c r="D21" s="171"/>
      <c r="E21" s="171"/>
      <c r="F21" s="171"/>
      <c r="G21" s="171"/>
      <c r="H21" s="171"/>
      <c r="I21" s="171"/>
      <c r="J21" s="171"/>
      <c r="K21" s="171"/>
      <c r="L21" s="171"/>
      <c r="M21" s="171"/>
      <c r="N21" s="172"/>
      <c r="O21" s="16"/>
      <c r="P21" s="16"/>
      <c r="Q21" s="16"/>
      <c r="R21" s="16"/>
      <c r="S21" s="16"/>
      <c r="T21" s="16"/>
      <c r="U21" s="16"/>
      <c r="V21" s="16"/>
      <c r="W21" s="16"/>
      <c r="X21" s="16"/>
      <c r="Y21" s="16"/>
      <c r="Z21" s="16"/>
      <c r="AA21" s="16"/>
      <c r="AB21" s="16"/>
      <c r="AC21" s="16"/>
      <c r="AD21" s="16"/>
      <c r="AE21" s="16"/>
      <c r="AF21" s="16"/>
      <c r="AN21" s="12" t="s">
        <v>49</v>
      </c>
    </row>
    <row r="22" spans="1:44" s="4" customFormat="1" ht="15.75" customHeight="1" x14ac:dyDescent="0.15">
      <c r="A22" s="14"/>
      <c r="N22" s="15"/>
      <c r="AN22" s="12" t="s">
        <v>46</v>
      </c>
    </row>
    <row r="23" spans="1:44" s="4" customFormat="1" ht="15.75" customHeight="1" x14ac:dyDescent="0.15">
      <c r="A23" s="14"/>
      <c r="N23" s="15"/>
      <c r="AN23" s="12"/>
    </row>
    <row r="24" spans="1:44" s="4" customFormat="1" ht="15.75" customHeight="1" x14ac:dyDescent="0.2">
      <c r="A24" s="14"/>
      <c r="N24" s="15"/>
      <c r="AN24" s="20"/>
    </row>
    <row r="25" spans="1:44" s="4" customFormat="1" ht="15" customHeight="1" x14ac:dyDescent="0.15">
      <c r="A25" s="14"/>
      <c r="N25" s="15"/>
    </row>
    <row r="26" spans="1:44" s="4" customFormat="1" ht="15" customHeight="1" x14ac:dyDescent="0.15">
      <c r="A26" s="14"/>
      <c r="N26" s="15"/>
    </row>
    <row r="27" spans="1:44" s="4" customFormat="1" ht="15" customHeight="1" x14ac:dyDescent="0.15">
      <c r="A27" s="14"/>
      <c r="N27" s="15"/>
    </row>
    <row r="28" spans="1:44" s="4" customFormat="1" ht="15" customHeight="1" x14ac:dyDescent="0.15">
      <c r="A28" s="14"/>
      <c r="N28" s="15"/>
    </row>
    <row r="29" spans="1:44" s="4" customFormat="1" ht="15" customHeight="1" x14ac:dyDescent="0.15">
      <c r="A29" s="14"/>
      <c r="N29" s="15"/>
    </row>
    <row r="30" spans="1:44" s="4" customFormat="1" ht="15" customHeight="1" x14ac:dyDescent="0.15">
      <c r="A30" s="14"/>
      <c r="N30" s="15"/>
    </row>
    <row r="31" spans="1:44" s="4" customFormat="1" ht="15" customHeight="1" x14ac:dyDescent="0.15">
      <c r="A31" s="14"/>
      <c r="N31" s="15"/>
    </row>
    <row r="32" spans="1:44" s="4" customFormat="1" ht="15" customHeight="1" x14ac:dyDescent="0.15">
      <c r="A32" s="170"/>
      <c r="B32" s="171"/>
      <c r="C32" s="171"/>
      <c r="D32" s="171"/>
      <c r="E32" s="171"/>
      <c r="F32" s="171"/>
      <c r="G32" s="171"/>
      <c r="H32" s="171"/>
      <c r="I32" s="171"/>
      <c r="J32" s="171"/>
      <c r="K32" s="171"/>
      <c r="L32" s="171"/>
      <c r="M32" s="171"/>
      <c r="N32" s="172"/>
      <c r="O32" s="21"/>
      <c r="P32" s="21"/>
      <c r="Q32" s="21"/>
      <c r="R32" s="21"/>
      <c r="S32" s="21"/>
      <c r="T32" s="21"/>
      <c r="U32" s="21"/>
      <c r="V32" s="21"/>
      <c r="W32" s="21"/>
      <c r="X32" s="21"/>
      <c r="Y32" s="21"/>
      <c r="Z32" s="21"/>
      <c r="AA32" s="21"/>
      <c r="AB32" s="21"/>
      <c r="AC32" s="21"/>
      <c r="AD32" s="21"/>
      <c r="AE32" s="21"/>
      <c r="AF32" s="21"/>
    </row>
    <row r="33" spans="1:14" s="4" customFormat="1" ht="15.75" customHeight="1" x14ac:dyDescent="0.15">
      <c r="A33" s="22"/>
      <c r="B33" s="3"/>
      <c r="C33" s="3"/>
      <c r="D33" s="3"/>
      <c r="E33" s="3"/>
      <c r="F33" s="3"/>
      <c r="G33" s="3"/>
      <c r="H33" s="3"/>
      <c r="I33" s="3"/>
      <c r="J33" s="3"/>
      <c r="K33" s="3"/>
      <c r="L33" s="3"/>
      <c r="M33" s="3"/>
      <c r="N33" s="23"/>
    </row>
    <row r="34" spans="1:14" s="4" customFormat="1" ht="15" customHeight="1" x14ac:dyDescent="0.15"/>
    <row r="35" spans="1:14" s="4" customFormat="1" ht="15" customHeight="1" x14ac:dyDescent="0.15"/>
    <row r="36" spans="1:14" s="4" customFormat="1" ht="15" customHeight="1" x14ac:dyDescent="0.15"/>
    <row r="37" spans="1:14" s="4" customFormat="1" ht="15" customHeight="1" x14ac:dyDescent="0.15"/>
    <row r="38" spans="1:14" s="4" customFormat="1" ht="15" customHeight="1" x14ac:dyDescent="0.15"/>
    <row r="39" spans="1:14" s="4" customFormat="1" ht="15" customHeight="1" x14ac:dyDescent="0.15"/>
    <row r="40" spans="1:14" s="4" customFormat="1" ht="15" customHeight="1" x14ac:dyDescent="0.15"/>
    <row r="41" spans="1:14" s="4" customFormat="1" ht="15" customHeight="1" x14ac:dyDescent="0.15"/>
    <row r="42" spans="1:14" s="4" customFormat="1" ht="15" customHeight="1" x14ac:dyDescent="0.15"/>
    <row r="43" spans="1:14" s="4" customFormat="1" ht="15" customHeight="1" x14ac:dyDescent="0.15"/>
    <row r="44" spans="1:14" s="4" customFormat="1" ht="15" customHeight="1" x14ac:dyDescent="0.15"/>
    <row r="45" spans="1:14" s="4" customFormat="1" ht="15" customHeight="1" x14ac:dyDescent="0.15"/>
    <row r="46" spans="1:14" s="4" customFormat="1" ht="15" customHeight="1" x14ac:dyDescent="0.15"/>
    <row r="47" spans="1:14" s="4" customFormat="1" ht="15" customHeight="1" x14ac:dyDescent="0.15"/>
    <row r="48" spans="1:14" s="4" customFormat="1" ht="15" customHeight="1" x14ac:dyDescent="0.15"/>
    <row r="49" s="4" customFormat="1" ht="15" customHeight="1" x14ac:dyDescent="0.15"/>
    <row r="50" s="4" customFormat="1" ht="15" customHeight="1" x14ac:dyDescent="0.15"/>
    <row r="51" s="4" customFormat="1" ht="15" customHeight="1" x14ac:dyDescent="0.15"/>
    <row r="52" s="4" customFormat="1" ht="15" customHeight="1" x14ac:dyDescent="0.15"/>
    <row r="53" s="4" customFormat="1" ht="15" customHeight="1" x14ac:dyDescent="0.15"/>
    <row r="54" s="4" customFormat="1" ht="15" customHeight="1" x14ac:dyDescent="0.15"/>
    <row r="55" s="4" customFormat="1" ht="15" customHeight="1" x14ac:dyDescent="0.15"/>
    <row r="56" s="4" customFormat="1" ht="15" customHeight="1" x14ac:dyDescent="0.15"/>
    <row r="57" s="4" customFormat="1" ht="15" customHeight="1" x14ac:dyDescent="0.15"/>
    <row r="58" s="4" customFormat="1" ht="15" customHeight="1" x14ac:dyDescent="0.15"/>
    <row r="59" s="4" customFormat="1" ht="15" customHeight="1" x14ac:dyDescent="0.15"/>
    <row r="60" s="4" customFormat="1" ht="15" customHeight="1" x14ac:dyDescent="0.15"/>
    <row r="61" s="4" customFormat="1" ht="15" customHeight="1" x14ac:dyDescent="0.15"/>
    <row r="62" s="4" customFormat="1" ht="15" customHeight="1" x14ac:dyDescent="0.15"/>
    <row r="63" s="4" customFormat="1" ht="15" customHeight="1" x14ac:dyDescent="0.15"/>
    <row r="64" s="4" customFormat="1" ht="15" customHeight="1" x14ac:dyDescent="0.15"/>
    <row r="141" ht="15.75" customHeight="1" x14ac:dyDescent="0.15"/>
    <row r="143" ht="15" customHeight="1" x14ac:dyDescent="0.15"/>
    <row r="188" ht="15" customHeight="1" x14ac:dyDescent="0.15"/>
  </sheetData>
  <mergeCells count="15">
    <mergeCell ref="A32:N32"/>
    <mergeCell ref="J7:M7"/>
    <mergeCell ref="D10:F10"/>
    <mergeCell ref="A21:N21"/>
    <mergeCell ref="D12:F12"/>
    <mergeCell ref="J12:M12"/>
    <mergeCell ref="D17:G17"/>
    <mergeCell ref="A2:N2"/>
    <mergeCell ref="D16:G16"/>
    <mergeCell ref="D6:F6"/>
    <mergeCell ref="J6:M6"/>
    <mergeCell ref="D8:F8"/>
    <mergeCell ref="J10:M10"/>
    <mergeCell ref="D14:F14"/>
    <mergeCell ref="J8:M8"/>
  </mergeCells>
  <dataValidations count="4">
    <dataValidation type="list" allowBlank="1" showInputMessage="1" showErrorMessage="1" sqref="H16" xr:uid="{00000000-0002-0000-0000-000000000000}">
      <formula1>$AO$14:$AO$17</formula1>
      <formula2>0</formula2>
    </dataValidation>
    <dataValidation type="list" allowBlank="1" showInputMessage="1" showErrorMessage="1" sqref="J12:M12" xr:uid="{00000000-0002-0000-0000-000001000000}">
      <formula1>$AR$2:$AR$18</formula1>
      <formula2>0</formula2>
    </dataValidation>
    <dataValidation type="list" allowBlank="1" showInputMessage="1" showErrorMessage="1" sqref="D14:F14" xr:uid="{00000000-0002-0000-0000-000002000000}">
      <formula1>$AQ$3:$AQ$8</formula1>
      <formula2>0</formula2>
    </dataValidation>
    <dataValidation type="list" allowBlank="1" showInputMessage="1" showErrorMessage="1" sqref="D10:F10" xr:uid="{00000000-0002-0000-0000-000003000000}">
      <formula1>$AN$3:$AN$24</formula1>
      <formula2>0</formula2>
    </dataValidation>
  </dataValidations>
  <printOptions horizontalCentered="1"/>
  <pageMargins left="0.2" right="0.2" top="2.3298611111111098" bottom="1" header="0.511811023622047" footer="0.511811023622047"/>
  <pageSetup paperSize="9" scale="7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6CC"/>
    <pageSetUpPr fitToPage="1"/>
  </sheetPr>
  <dimension ref="A1:AZ48"/>
  <sheetViews>
    <sheetView showGridLines="0" topLeftCell="A6" zoomScale="89" zoomScaleNormal="100" workbookViewId="0">
      <selection activeCell="A33" sqref="A33:H38"/>
    </sheetView>
  </sheetViews>
  <sheetFormatPr baseColWidth="10" defaultColWidth="9.1640625" defaultRowHeight="15" x14ac:dyDescent="0.15"/>
  <cols>
    <col min="1" max="1" width="3.1640625" style="24" customWidth="1"/>
    <col min="2" max="2" width="22" style="24" hidden="1" customWidth="1"/>
    <col min="3" max="3" width="17.6640625" style="24" customWidth="1"/>
    <col min="4" max="7" width="6.5" style="24" customWidth="1"/>
    <col min="8" max="8" width="19.83203125" style="24" customWidth="1"/>
    <col min="9" max="9" width="6.5" style="24" customWidth="1"/>
    <col min="10" max="10" width="15.6640625" style="24" customWidth="1"/>
    <col min="11" max="11" width="27.1640625" style="24" customWidth="1"/>
    <col min="12" max="12" width="9.5" style="24" customWidth="1"/>
    <col min="13" max="38" width="11.5" style="24" customWidth="1"/>
    <col min="39" max="41" width="9.1640625" style="24" customWidth="1"/>
    <col min="42" max="42" width="37.1640625" style="24" hidden="1" customWidth="1"/>
    <col min="43" max="43" width="40.5" style="24" hidden="1" customWidth="1"/>
    <col min="44" max="44" width="27.1640625" style="24" hidden="1" customWidth="1"/>
    <col min="45" max="45" width="40.5" style="24" hidden="1" customWidth="1"/>
    <col min="46" max="46" width="37" style="24" hidden="1" customWidth="1"/>
    <col min="47" max="47" width="26.5" style="24" hidden="1" customWidth="1"/>
    <col min="48" max="48" width="17" style="24" hidden="1" customWidth="1"/>
    <col min="49" max="49" width="69.83203125" style="24" hidden="1" customWidth="1"/>
    <col min="50" max="50" width="75.83203125" style="24" hidden="1" customWidth="1"/>
    <col min="51" max="51" width="9.1640625" style="24" customWidth="1"/>
    <col min="52" max="52" width="17.5" style="24" customWidth="1"/>
    <col min="53" max="53" width="87.6640625" style="24" customWidth="1"/>
    <col min="54" max="54" width="187.6640625" style="24" customWidth="1"/>
    <col min="55" max="55" width="9.1640625" style="24" customWidth="1"/>
    <col min="56" max="16384" width="9.1640625" style="24"/>
  </cols>
  <sheetData>
    <row r="1" spans="1:50" s="26" customFormat="1" ht="21" customHeight="1" x14ac:dyDescent="0.15">
      <c r="A1" s="232" t="s">
        <v>50</v>
      </c>
      <c r="B1" s="196"/>
      <c r="C1" s="196"/>
      <c r="D1" s="196"/>
      <c r="E1" s="196"/>
      <c r="F1" s="196"/>
      <c r="G1" s="196"/>
      <c r="H1" s="196"/>
      <c r="I1" s="196"/>
      <c r="J1" s="196"/>
      <c r="K1" s="196"/>
      <c r="L1" s="196"/>
      <c r="M1" s="197"/>
      <c r="N1" s="25"/>
      <c r="O1" s="25"/>
      <c r="P1" s="25"/>
      <c r="Q1" s="25"/>
      <c r="R1" s="25"/>
      <c r="S1" s="25"/>
      <c r="T1" s="25"/>
      <c r="U1" s="25"/>
      <c r="V1" s="25"/>
      <c r="W1" s="25"/>
      <c r="X1" s="25"/>
      <c r="Y1" s="25"/>
      <c r="Z1" s="25"/>
      <c r="AA1" s="25"/>
      <c r="AB1" s="25"/>
      <c r="AC1" s="25"/>
      <c r="AD1" s="25"/>
      <c r="AE1" s="25"/>
      <c r="AF1" s="25"/>
      <c r="AG1" s="25"/>
      <c r="AH1" s="25"/>
      <c r="AI1" s="25"/>
      <c r="AJ1" s="25"/>
      <c r="AK1" s="25"/>
      <c r="AL1" s="25"/>
    </row>
    <row r="2" spans="1:50" ht="16.5" customHeight="1" x14ac:dyDescent="0.15">
      <c r="A2" s="10"/>
      <c r="B2" s="27"/>
      <c r="C2" s="27"/>
      <c r="D2" s="27"/>
      <c r="E2" s="27"/>
      <c r="F2" s="27"/>
      <c r="G2" s="27"/>
      <c r="H2" s="27"/>
      <c r="I2" s="27"/>
      <c r="J2" s="27"/>
      <c r="K2" s="27"/>
      <c r="L2" s="27"/>
      <c r="M2" s="11"/>
      <c r="AP2" s="28"/>
      <c r="AQ2" s="29" t="s">
        <v>51</v>
      </c>
      <c r="AR2" s="30" t="s">
        <v>52</v>
      </c>
      <c r="AS2" s="29" t="s">
        <v>51</v>
      </c>
      <c r="AT2" s="30" t="s">
        <v>52</v>
      </c>
      <c r="AV2" s="31" t="s">
        <v>1</v>
      </c>
      <c r="AW2" s="31" t="s">
        <v>53</v>
      </c>
      <c r="AX2" s="31" t="s">
        <v>54</v>
      </c>
    </row>
    <row r="3" spans="1:50" ht="41.25" customHeight="1" x14ac:dyDescent="0.15">
      <c r="A3" s="238" t="s">
        <v>252</v>
      </c>
      <c r="B3" s="410"/>
      <c r="C3" s="410"/>
      <c r="D3" s="410"/>
      <c r="E3" s="410"/>
      <c r="F3" s="410"/>
      <c r="G3" s="410"/>
      <c r="H3" s="410"/>
      <c r="I3" s="410"/>
      <c r="J3" s="410"/>
      <c r="K3" s="410"/>
      <c r="L3" s="410"/>
      <c r="M3" s="172"/>
      <c r="N3" s="32"/>
      <c r="O3" s="32"/>
      <c r="P3" s="32"/>
      <c r="Q3" s="32"/>
      <c r="R3" s="32"/>
      <c r="S3" s="32"/>
      <c r="T3" s="32"/>
      <c r="U3" s="32"/>
      <c r="V3" s="32"/>
      <c r="W3" s="32"/>
      <c r="X3" s="32"/>
      <c r="Y3" s="32"/>
      <c r="Z3" s="32"/>
      <c r="AA3" s="32"/>
      <c r="AB3" s="32"/>
      <c r="AC3" s="32"/>
      <c r="AD3" s="32"/>
      <c r="AE3" s="32"/>
      <c r="AF3" s="32"/>
      <c r="AG3" s="32"/>
      <c r="AH3" s="32"/>
      <c r="AI3" s="32"/>
      <c r="AJ3" s="32"/>
      <c r="AK3" s="32"/>
      <c r="AL3" s="32"/>
      <c r="AP3" s="33" t="s">
        <v>34</v>
      </c>
      <c r="AQ3" s="34" t="s">
        <v>55</v>
      </c>
      <c r="AR3" s="393" t="s">
        <v>279</v>
      </c>
      <c r="AS3" s="36" t="s">
        <v>55</v>
      </c>
      <c r="AT3" s="35" t="s">
        <v>56</v>
      </c>
      <c r="AV3" s="37" t="s">
        <v>34</v>
      </c>
      <c r="AW3" s="37" t="s">
        <v>57</v>
      </c>
      <c r="AX3" s="37" t="s">
        <v>58</v>
      </c>
    </row>
    <row r="4" spans="1:50" ht="11.25" customHeight="1" thickBot="1" x14ac:dyDescent="0.2">
      <c r="A4" s="38"/>
      <c r="B4" s="411"/>
      <c r="C4" s="411"/>
      <c r="D4" s="412"/>
      <c r="E4" s="412"/>
      <c r="F4" s="412"/>
      <c r="G4" s="412"/>
      <c r="H4" s="412"/>
      <c r="I4" s="412"/>
      <c r="J4" s="412"/>
      <c r="K4" s="412"/>
      <c r="L4" s="412"/>
      <c r="M4" s="40"/>
      <c r="N4" s="39"/>
      <c r="O4" s="39"/>
      <c r="P4" s="39"/>
      <c r="Q4" s="39"/>
      <c r="R4" s="39"/>
      <c r="S4" s="39"/>
      <c r="T4" s="39"/>
      <c r="U4" s="39"/>
      <c r="V4" s="39"/>
      <c r="W4" s="39"/>
      <c r="X4" s="39"/>
      <c r="Y4" s="39"/>
      <c r="Z4" s="39"/>
      <c r="AA4" s="39"/>
      <c r="AB4" s="39"/>
      <c r="AC4" s="39"/>
      <c r="AD4" s="39"/>
      <c r="AE4" s="39"/>
      <c r="AF4" s="39"/>
      <c r="AG4" s="39"/>
      <c r="AH4" s="39"/>
      <c r="AI4" s="39"/>
      <c r="AJ4" s="39"/>
      <c r="AK4" s="39"/>
      <c r="AL4" s="39"/>
      <c r="AP4" s="33" t="s">
        <v>34</v>
      </c>
      <c r="AQ4" s="34" t="s">
        <v>59</v>
      </c>
      <c r="AR4" s="394" t="s">
        <v>280</v>
      </c>
      <c r="AS4" s="36" t="s">
        <v>59</v>
      </c>
      <c r="AT4" s="35" t="s">
        <v>60</v>
      </c>
      <c r="AV4" s="37" t="s">
        <v>37</v>
      </c>
      <c r="AW4" s="37" t="s">
        <v>61</v>
      </c>
      <c r="AX4" s="37" t="s">
        <v>62</v>
      </c>
    </row>
    <row r="5" spans="1:50" s="44" customFormat="1" ht="42" customHeight="1" thickBot="1" x14ac:dyDescent="0.2">
      <c r="A5" s="41" t="s">
        <v>63</v>
      </c>
      <c r="B5" s="42"/>
      <c r="C5" s="222" t="s">
        <v>64</v>
      </c>
      <c r="D5" s="223"/>
      <c r="E5" s="223"/>
      <c r="F5" s="223"/>
      <c r="G5" s="223"/>
      <c r="H5" s="223"/>
      <c r="I5" s="224"/>
      <c r="J5" s="242" t="s">
        <v>54</v>
      </c>
      <c r="K5" s="224"/>
      <c r="L5" s="159" t="s">
        <v>65</v>
      </c>
      <c r="M5" s="72" t="s">
        <v>66</v>
      </c>
      <c r="N5" s="43"/>
      <c r="O5" s="43"/>
      <c r="P5" s="43"/>
      <c r="Q5" s="43"/>
      <c r="R5" s="43"/>
      <c r="S5" s="43"/>
      <c r="T5" s="43"/>
      <c r="U5" s="43"/>
      <c r="V5" s="43"/>
      <c r="W5" s="43"/>
      <c r="X5" s="43"/>
      <c r="Y5" s="43"/>
      <c r="Z5" s="43"/>
      <c r="AA5" s="43"/>
      <c r="AB5" s="43"/>
      <c r="AC5" s="43"/>
      <c r="AD5" s="43"/>
      <c r="AE5" s="43"/>
      <c r="AF5" s="43"/>
      <c r="AG5" s="43"/>
      <c r="AH5" s="43"/>
      <c r="AI5" s="43"/>
      <c r="AJ5" s="43"/>
      <c r="AK5" s="43"/>
      <c r="AL5" s="43"/>
      <c r="AP5" s="33" t="s">
        <v>34</v>
      </c>
      <c r="AQ5" s="34" t="s">
        <v>67</v>
      </c>
      <c r="AR5" s="394" t="s">
        <v>281</v>
      </c>
      <c r="AS5" s="45" t="s">
        <v>67</v>
      </c>
      <c r="AT5" s="35" t="s">
        <v>68</v>
      </c>
      <c r="AU5" s="24"/>
      <c r="AV5" s="37" t="s">
        <v>40</v>
      </c>
      <c r="AW5" s="37" t="s">
        <v>69</v>
      </c>
      <c r="AX5" s="37" t="s">
        <v>70</v>
      </c>
    </row>
    <row r="6" spans="1:50" ht="48.75" customHeight="1" x14ac:dyDescent="0.15">
      <c r="A6" s="46">
        <v>1</v>
      </c>
      <c r="B6" s="47"/>
      <c r="C6" s="191" t="s">
        <v>290</v>
      </c>
      <c r="D6" s="192"/>
      <c r="E6" s="192"/>
      <c r="F6" s="192"/>
      <c r="G6" s="192"/>
      <c r="H6" s="192"/>
      <c r="I6" s="192"/>
      <c r="J6" s="191" t="s">
        <v>290</v>
      </c>
      <c r="K6" s="192"/>
      <c r="L6" s="51">
        <v>0.2</v>
      </c>
      <c r="M6" s="413"/>
      <c r="N6" s="48"/>
      <c r="O6" s="48"/>
      <c r="P6" s="48"/>
      <c r="Q6" s="48"/>
      <c r="R6" s="48"/>
      <c r="S6" s="48"/>
      <c r="T6" s="48"/>
      <c r="U6" s="48"/>
      <c r="V6" s="48"/>
      <c r="W6" s="48"/>
      <c r="X6" s="48"/>
      <c r="Y6" s="48"/>
      <c r="Z6" s="48"/>
      <c r="AA6" s="48"/>
      <c r="AB6" s="48"/>
      <c r="AC6" s="48"/>
      <c r="AD6" s="48"/>
      <c r="AE6" s="48"/>
      <c r="AF6" s="48"/>
      <c r="AG6" s="48"/>
      <c r="AH6" s="48"/>
      <c r="AI6" s="48"/>
      <c r="AJ6" s="48"/>
      <c r="AK6" s="48"/>
      <c r="AL6" s="48"/>
      <c r="AP6" s="33" t="s">
        <v>34</v>
      </c>
      <c r="AQ6" s="34" t="s">
        <v>71</v>
      </c>
      <c r="AR6" s="28"/>
      <c r="AS6" s="36" t="s">
        <v>71</v>
      </c>
      <c r="AT6" s="28"/>
      <c r="AV6" s="37" t="s">
        <v>43</v>
      </c>
      <c r="AW6" s="37" t="s">
        <v>69</v>
      </c>
      <c r="AX6" s="37" t="s">
        <v>70</v>
      </c>
    </row>
    <row r="7" spans="1:50" ht="38.25" customHeight="1" thickBot="1" x14ac:dyDescent="0.2">
      <c r="A7" s="49">
        <v>2</v>
      </c>
      <c r="B7" s="50"/>
      <c r="C7" s="191" t="s">
        <v>290</v>
      </c>
      <c r="D7" s="192"/>
      <c r="E7" s="192"/>
      <c r="F7" s="192"/>
      <c r="G7" s="192"/>
      <c r="H7" s="192"/>
      <c r="I7" s="192"/>
      <c r="J7" s="191" t="s">
        <v>290</v>
      </c>
      <c r="K7" s="192"/>
      <c r="L7" s="51">
        <v>0.2</v>
      </c>
      <c r="M7" s="413"/>
      <c r="N7" s="48"/>
      <c r="O7" s="48"/>
      <c r="P7" s="48"/>
      <c r="Q7" s="48"/>
      <c r="R7" s="48"/>
      <c r="S7" s="48"/>
      <c r="T7" s="48"/>
      <c r="U7" s="48"/>
      <c r="V7" s="48"/>
      <c r="W7" s="48"/>
      <c r="X7" s="48"/>
      <c r="Y7" s="48"/>
      <c r="Z7" s="48"/>
      <c r="AA7" s="48"/>
      <c r="AB7" s="48"/>
      <c r="AC7" s="48"/>
      <c r="AD7" s="48"/>
      <c r="AE7" s="48"/>
      <c r="AF7" s="48"/>
      <c r="AG7" s="48"/>
      <c r="AH7" s="48"/>
      <c r="AI7" s="48"/>
      <c r="AJ7" s="48"/>
      <c r="AK7" s="48"/>
      <c r="AL7" s="48"/>
      <c r="AP7" s="33" t="s">
        <v>34</v>
      </c>
      <c r="AQ7" s="34" t="s">
        <v>72</v>
      </c>
      <c r="AR7" s="28"/>
      <c r="AS7" s="36" t="s">
        <v>72</v>
      </c>
      <c r="AT7" s="28"/>
      <c r="AU7" s="44"/>
      <c r="AV7" s="52"/>
      <c r="AW7" s="52"/>
      <c r="AX7" s="52"/>
    </row>
    <row r="8" spans="1:50" ht="72.75" customHeight="1" thickBot="1" x14ac:dyDescent="0.2">
      <c r="A8" s="46">
        <v>3</v>
      </c>
      <c r="B8" s="50"/>
      <c r="C8" s="191"/>
      <c r="D8" s="192"/>
      <c r="E8" s="192"/>
      <c r="F8" s="192"/>
      <c r="G8" s="192"/>
      <c r="H8" s="192"/>
      <c r="I8" s="192"/>
      <c r="J8" s="191"/>
      <c r="K8" s="192"/>
      <c r="L8" s="51">
        <v>0.2</v>
      </c>
      <c r="M8" s="413"/>
      <c r="N8" s="48"/>
      <c r="O8" s="48"/>
      <c r="P8" s="48"/>
      <c r="Q8" s="48"/>
      <c r="R8" s="48"/>
      <c r="S8" s="48"/>
      <c r="T8" s="48"/>
      <c r="U8" s="48"/>
      <c r="V8" s="48"/>
      <c r="W8" s="48"/>
      <c r="X8" s="48"/>
      <c r="Y8" s="48"/>
      <c r="Z8" s="48"/>
      <c r="AA8" s="48"/>
      <c r="AB8" s="48"/>
      <c r="AC8" s="48"/>
      <c r="AD8" s="48"/>
      <c r="AE8" s="48"/>
      <c r="AF8" s="48"/>
      <c r="AG8" s="48"/>
      <c r="AH8" s="48"/>
      <c r="AI8" s="48"/>
      <c r="AJ8" s="48"/>
      <c r="AK8" s="48"/>
      <c r="AL8" s="48"/>
      <c r="AP8" s="33" t="s">
        <v>37</v>
      </c>
      <c r="AQ8" s="34" t="s">
        <v>55</v>
      </c>
      <c r="AR8" s="395" t="s">
        <v>282</v>
      </c>
      <c r="AS8" s="36" t="s">
        <v>55</v>
      </c>
      <c r="AT8" s="53" t="s">
        <v>73</v>
      </c>
      <c r="AU8" s="44"/>
      <c r="AV8" s="31" t="s">
        <v>1</v>
      </c>
      <c r="AW8" s="31" t="s">
        <v>74</v>
      </c>
      <c r="AX8" s="31" t="s">
        <v>75</v>
      </c>
    </row>
    <row r="9" spans="1:50" ht="45" customHeight="1" x14ac:dyDescent="0.15">
      <c r="A9" s="46">
        <v>4</v>
      </c>
      <c r="B9" s="50"/>
      <c r="C9" s="191"/>
      <c r="D9" s="192"/>
      <c r="E9" s="192"/>
      <c r="F9" s="192"/>
      <c r="G9" s="192"/>
      <c r="H9" s="192"/>
      <c r="I9" s="192"/>
      <c r="J9" s="191"/>
      <c r="K9" s="192"/>
      <c r="L9" s="51">
        <v>0.2</v>
      </c>
      <c r="M9" s="413"/>
      <c r="N9" s="48"/>
      <c r="O9" s="48"/>
      <c r="P9" s="48"/>
      <c r="Q9" s="48"/>
      <c r="R9" s="48"/>
      <c r="S9" s="48"/>
      <c r="T9" s="48"/>
      <c r="U9" s="48"/>
      <c r="V9" s="48"/>
      <c r="W9" s="48"/>
      <c r="X9" s="48"/>
      <c r="Y9" s="48"/>
      <c r="Z9" s="48"/>
      <c r="AA9" s="48"/>
      <c r="AB9" s="48"/>
      <c r="AC9" s="48"/>
      <c r="AD9" s="48"/>
      <c r="AE9" s="48"/>
      <c r="AF9" s="48"/>
      <c r="AG9" s="48"/>
      <c r="AH9" s="48"/>
      <c r="AI9" s="48"/>
      <c r="AJ9" s="48"/>
      <c r="AK9" s="48"/>
      <c r="AL9" s="48"/>
      <c r="AP9" s="33" t="s">
        <v>37</v>
      </c>
      <c r="AQ9" s="34" t="s">
        <v>59</v>
      </c>
      <c r="AR9" s="396" t="s">
        <v>283</v>
      </c>
      <c r="AS9" s="36" t="s">
        <v>59</v>
      </c>
      <c r="AT9" s="53" t="s">
        <v>76</v>
      </c>
      <c r="AV9" s="37" t="s">
        <v>34</v>
      </c>
      <c r="AW9" s="37" t="s">
        <v>77</v>
      </c>
      <c r="AX9" s="37" t="s">
        <v>78</v>
      </c>
    </row>
    <row r="10" spans="1:50" ht="45" customHeight="1" x14ac:dyDescent="0.15">
      <c r="A10" s="49">
        <v>5</v>
      </c>
      <c r="B10" s="50"/>
      <c r="C10" s="191"/>
      <c r="D10" s="192"/>
      <c r="E10" s="192"/>
      <c r="F10" s="192"/>
      <c r="G10" s="192"/>
      <c r="H10" s="192"/>
      <c r="I10" s="192"/>
      <c r="J10" s="191"/>
      <c r="K10" s="192"/>
      <c r="L10" s="51">
        <v>0.05</v>
      </c>
      <c r="M10" s="413"/>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P10" s="33" t="s">
        <v>37</v>
      </c>
      <c r="AQ10" s="34" t="s">
        <v>67</v>
      </c>
      <c r="AR10" s="396" t="s">
        <v>284</v>
      </c>
      <c r="AS10" s="45" t="s">
        <v>67</v>
      </c>
      <c r="AT10" s="53" t="s">
        <v>79</v>
      </c>
      <c r="AV10" s="37" t="s">
        <v>37</v>
      </c>
      <c r="AW10" s="37" t="s">
        <v>80</v>
      </c>
      <c r="AX10" s="37" t="s">
        <v>81</v>
      </c>
    </row>
    <row r="11" spans="1:50" ht="45" customHeight="1" thickBot="1" x14ac:dyDescent="0.2">
      <c r="A11" s="49">
        <v>6</v>
      </c>
      <c r="B11" s="50"/>
      <c r="C11" s="225" t="str">
        <f t="array" ref="C11">_xlfn.IFS(B20="الإدارة العليا","ضمان التزام القيادة بالامتثال لمتطلبات الصحة والسلامة والبيئة والحوكمة والقيادة الظاهرة للسلامة.",B20="الإدارة الوسطى","ضمان التنفيذ والمتابعة والتطبيق الفعال لأنظمة وسياسات الصحة والسلامة والبيئة داخل الفرق.",B20="الموظفون","الامتثال لمتطلبات الصحة والسلامة والبيئة والمساهمة الفعالة في بيئة عمل آمنة وملتزمة.",B20="العمالة الفنية - فنيون","الالتزام بإجراءات الصحة والسلامة والبيئة والمشاركة الفعالة في الحفاظ على بيئة عمل آمنة.")</f>
        <v>ضمان التنفيذ والمتابعة والتطبيق الفعال لأنظمة وسياسات الصحة والسلامة والبيئة داخل الفرق.</v>
      </c>
      <c r="D11" s="226"/>
      <c r="E11" s="226"/>
      <c r="F11" s="226"/>
      <c r="G11" s="226"/>
      <c r="H11" s="226"/>
      <c r="I11" s="214"/>
      <c r="J11" s="225" t="str">
        <f t="array" ref="J11">_xlfn.IFS(B20="الإدارة العليا","حضور 100% من تدريبات الصحة والسلامة والبيئة؛ وحضور 100% من الاجتماعات؛ و4 ملاحظات سلامة؛ وجولتا سلامة إدارية؛ وعدم وجود أي إنذارات",B20="الإدارة الوسطى","حضور 100% من التدريبات؛ و100% من الاجتماعات؛ و4 ملاحظات سلامة؛ وجولتا سلامة إدارية؛ وإغلاق 100% من إجراءات التدقيق الحرجة و80% من الأخرى؛ وعدم وجود أي إنذارات",B20="الموظفون","حضور 100% من التدريبات؛ و100% من الاجتماعات؛ و12 ملاحظة سلامة؛ وإغلاق 100% من إجراءات التدقيق الحرجة و80% من الأخرى؛ وعدم وجود أي إنذارات",B20="العمالة الفنية - فنيون","حضور 100% من التدريبات؛ و100% من الاجتماعات؛ و12 ملاحظة سلامة؛ وعدم وجود أي إنذارات")</f>
        <v>حضور 100% من التدريبات؛ و100% من الاجتماعات؛ و4 ملاحظات سلامة؛ وجولتا سلامة إدارية؛ وإغلاق 100% من إجراءات التدقيق الحرجة و80% من الأخرى؛ وعدم وجود أي إنذارات</v>
      </c>
      <c r="K11" s="214"/>
      <c r="L11" s="160">
        <v>0.1</v>
      </c>
      <c r="M11" s="413">
        <v>46387</v>
      </c>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P11" s="33" t="s">
        <v>37</v>
      </c>
      <c r="AQ11" s="34" t="s">
        <v>71</v>
      </c>
      <c r="AR11" s="28"/>
      <c r="AS11" s="36" t="s">
        <v>71</v>
      </c>
      <c r="AT11" s="28"/>
      <c r="AV11" s="37" t="s">
        <v>40</v>
      </c>
      <c r="AW11" s="37" t="s">
        <v>82</v>
      </c>
      <c r="AX11" s="37" t="s">
        <v>83</v>
      </c>
    </row>
    <row r="12" spans="1:50" ht="38.25" customHeight="1" thickBot="1" x14ac:dyDescent="0.2">
      <c r="A12" s="46">
        <v>7</v>
      </c>
      <c r="B12" s="50"/>
      <c r="C12" s="231" t="str">
        <f t="array" ref="C12">_xlfn.IFS(B20="الإدارة العليا","استكمال السياسات الوظيفية لجميع الإدارات وإغلاق إجراءات تدقيق الالتزام",B20="الإدارة الوسطى","التدريب والتوعية وتنفيذ أنظمة وسياسات الالتزام التي تم إطلاقها",OR(B20="الموظفون",B20="العمالة الفنية - فنيون"),"حضور جميع التدريبات والإبلاغ عن الأحداث")</f>
        <v>التدريب والتوعية وتنفيذ أنظمة وسياسات الالتزام التي تم إطلاقها</v>
      </c>
      <c r="D12" s="181"/>
      <c r="E12" s="181"/>
      <c r="F12" s="181"/>
      <c r="G12" s="181"/>
      <c r="H12" s="181"/>
      <c r="I12" s="188"/>
      <c r="J12" s="231" t="str">
        <f t="array" ref="J12">_xlfn.IFS(B20="الإدارة العليا","الرد على السياسات واستكمالها خلال أسبوعين من الاستلام؛ وإغلاق 95% من إجراءات تدقيق الالتزام",B20="الإدارة الوسطى","اجتياز اختبارات التدريب بدرجة ≥ 85%؛ وعدم وجود أي انتهاكات للسياسات",OR(B20="الموظفون",B20="العمالة الفنية - فنيون"),"اجتياز اختبارات التدريب بدرجة ≥ 75%؛ والإبلاغ عن 3 أحداث/مخالفات شهريًا")</f>
        <v>اجتياز اختبارات التدريب بدرجة ≥ 85%؛ وعدم وجود أي انتهاكات للسياسات</v>
      </c>
      <c r="K12" s="188"/>
      <c r="L12" s="54">
        <f>IF(B20="الإدارة العليا",10%,5%)</f>
        <v>0.05</v>
      </c>
      <c r="M12" s="423">
        <v>46387</v>
      </c>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P12" s="33" t="s">
        <v>37</v>
      </c>
      <c r="AQ12" s="34" t="s">
        <v>72</v>
      </c>
      <c r="AR12" s="28"/>
      <c r="AS12" s="36" t="s">
        <v>72</v>
      </c>
      <c r="AT12" s="28"/>
      <c r="AV12" s="37" t="s">
        <v>84</v>
      </c>
      <c r="AW12" s="37" t="s">
        <v>85</v>
      </c>
      <c r="AX12" s="37" t="s">
        <v>86</v>
      </c>
    </row>
    <row r="13" spans="1:50" ht="38.25" customHeight="1" thickBot="1" x14ac:dyDescent="0.2">
      <c r="A13" s="233" t="s">
        <v>87</v>
      </c>
      <c r="B13" s="196"/>
      <c r="C13" s="196"/>
      <c r="D13" s="196"/>
      <c r="E13" s="196"/>
      <c r="F13" s="196"/>
      <c r="G13" s="196"/>
      <c r="H13" s="196"/>
      <c r="I13" s="196"/>
      <c r="J13" s="196"/>
      <c r="K13" s="197"/>
      <c r="L13" s="55">
        <f>SUM(L6:L12)</f>
        <v>1</v>
      </c>
      <c r="M13" s="424" t="str">
        <f>IF(OR(L13=0,L13=100%),"","خطأ")</f>
        <v/>
      </c>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P13" s="33" t="s">
        <v>40</v>
      </c>
      <c r="AQ13" s="34" t="s">
        <v>55</v>
      </c>
      <c r="AR13" s="397" t="s">
        <v>285</v>
      </c>
      <c r="AS13" s="36" t="s">
        <v>55</v>
      </c>
      <c r="AT13" s="56" t="s">
        <v>88</v>
      </c>
      <c r="AX13" s="57"/>
    </row>
    <row r="14" spans="1:50" ht="38.25" customHeight="1" thickBot="1" x14ac:dyDescent="0.2">
      <c r="A14" s="38"/>
      <c r="B14" s="411"/>
      <c r="C14" s="411"/>
      <c r="D14" s="414"/>
      <c r="E14" s="411"/>
      <c r="F14" s="411"/>
      <c r="G14" s="411"/>
      <c r="H14" s="411"/>
      <c r="I14" s="411"/>
      <c r="J14" s="411"/>
      <c r="K14" s="411"/>
      <c r="L14" s="411"/>
      <c r="M14" s="5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P14" s="33" t="s">
        <v>40</v>
      </c>
      <c r="AQ14" s="34" t="s">
        <v>59</v>
      </c>
      <c r="AR14" s="398" t="s">
        <v>286</v>
      </c>
      <c r="AS14" s="36" t="s">
        <v>59</v>
      </c>
      <c r="AT14" s="56" t="s">
        <v>89</v>
      </c>
      <c r="AX14" s="57"/>
    </row>
    <row r="15" spans="1:50" ht="38.25" customHeight="1" thickBot="1" x14ac:dyDescent="0.2">
      <c r="A15" s="243" t="s">
        <v>90</v>
      </c>
      <c r="B15" s="223"/>
      <c r="C15" s="223"/>
      <c r="D15" s="223"/>
      <c r="E15" s="230"/>
      <c r="F15" s="240"/>
      <c r="G15" s="241"/>
      <c r="H15" s="199"/>
      <c r="I15" s="235" t="s">
        <v>91</v>
      </c>
      <c r="J15" s="223"/>
      <c r="K15" s="230"/>
      <c r="L15" s="198"/>
      <c r="M15" s="199"/>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P15" s="33" t="s">
        <v>40</v>
      </c>
      <c r="AQ15" s="34" t="s">
        <v>67</v>
      </c>
      <c r="AR15" s="398" t="s">
        <v>287</v>
      </c>
      <c r="AS15" s="45" t="s">
        <v>67</v>
      </c>
      <c r="AT15" s="59" t="s">
        <v>92</v>
      </c>
      <c r="AX15" s="57"/>
    </row>
    <row r="16" spans="1:50" ht="22.5" customHeight="1" x14ac:dyDescent="0.15">
      <c r="A16" s="227" t="s">
        <v>93</v>
      </c>
      <c r="B16" s="228"/>
      <c r="C16" s="184"/>
      <c r="D16" s="190" t="s">
        <v>94</v>
      </c>
      <c r="E16" s="181"/>
      <c r="F16" s="188"/>
      <c r="G16" s="190" t="s">
        <v>95</v>
      </c>
      <c r="H16" s="188"/>
      <c r="I16" s="190" t="s">
        <v>96</v>
      </c>
      <c r="J16" s="188"/>
      <c r="K16" s="60" t="s">
        <v>97</v>
      </c>
      <c r="L16" s="244" t="s">
        <v>98</v>
      </c>
      <c r="M16" s="182"/>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P16" s="33" t="s">
        <v>40</v>
      </c>
      <c r="AQ16" s="34" t="s">
        <v>71</v>
      </c>
      <c r="AR16" s="29"/>
      <c r="AS16" s="36" t="s">
        <v>71</v>
      </c>
      <c r="AT16" s="28"/>
      <c r="AV16" s="17"/>
      <c r="AW16" s="17"/>
      <c r="AX16" s="17"/>
    </row>
    <row r="17" spans="1:50" ht="16.5" customHeight="1" x14ac:dyDescent="0.2">
      <c r="A17" s="213"/>
      <c r="B17" s="226"/>
      <c r="C17" s="214"/>
      <c r="D17" s="190">
        <v>1</v>
      </c>
      <c r="E17" s="181"/>
      <c r="F17" s="188"/>
      <c r="G17" s="190">
        <v>2</v>
      </c>
      <c r="H17" s="188"/>
      <c r="I17" s="190">
        <v>3</v>
      </c>
      <c r="J17" s="188"/>
      <c r="K17" s="62">
        <v>4</v>
      </c>
      <c r="L17" s="194">
        <v>5</v>
      </c>
      <c r="M17" s="182"/>
      <c r="AP17" s="33" t="s">
        <v>40</v>
      </c>
      <c r="AQ17" s="34" t="s">
        <v>72</v>
      </c>
      <c r="AR17" s="63"/>
      <c r="AS17" s="36" t="s">
        <v>72</v>
      </c>
      <c r="AT17" s="28"/>
      <c r="AX17" s="64"/>
    </row>
    <row r="18" spans="1:50" s="44" customFormat="1" ht="34.5" customHeight="1" thickBot="1" x14ac:dyDescent="0.25">
      <c r="A18" s="65"/>
      <c r="B18" s="415"/>
      <c r="C18" s="415"/>
      <c r="D18" s="415"/>
      <c r="E18" s="415"/>
      <c r="F18" s="415"/>
      <c r="G18" s="415"/>
      <c r="H18" s="415"/>
      <c r="I18" s="415"/>
      <c r="J18" s="415"/>
      <c r="K18" s="415"/>
      <c r="L18" s="415"/>
      <c r="M18" s="67"/>
      <c r="AP18" s="33" t="s">
        <v>99</v>
      </c>
      <c r="AQ18" s="68" t="s">
        <v>55</v>
      </c>
      <c r="AR18" s="69" t="s">
        <v>89</v>
      </c>
      <c r="AS18" s="70" t="s">
        <v>55</v>
      </c>
      <c r="AT18" s="71" t="s">
        <v>89</v>
      </c>
      <c r="AX18" s="64"/>
    </row>
    <row r="19" spans="1:50" ht="18.75" customHeight="1" x14ac:dyDescent="0.15">
      <c r="A19" s="103"/>
      <c r="B19" s="403"/>
      <c r="C19" s="229" t="s">
        <v>278</v>
      </c>
      <c r="D19" s="245"/>
      <c r="E19" s="245"/>
      <c r="F19" s="245"/>
      <c r="G19" s="245"/>
      <c r="H19" s="404"/>
      <c r="I19" s="229" t="s">
        <v>100</v>
      </c>
      <c r="J19" s="405"/>
      <c r="K19" s="405"/>
      <c r="L19" s="406" t="s">
        <v>101</v>
      </c>
      <c r="M19" s="416" t="s">
        <v>102</v>
      </c>
      <c r="N19" s="73"/>
      <c r="O19" s="73"/>
      <c r="P19" s="73"/>
      <c r="Q19" s="73"/>
      <c r="R19" s="73"/>
      <c r="S19" s="73"/>
      <c r="T19" s="73"/>
      <c r="U19" s="73"/>
      <c r="V19" s="73"/>
      <c r="W19" s="73"/>
      <c r="X19" s="73"/>
      <c r="Y19" s="73"/>
      <c r="Z19" s="73"/>
      <c r="AA19" s="73"/>
      <c r="AB19" s="73"/>
      <c r="AC19" s="73"/>
      <c r="AD19" s="73"/>
      <c r="AE19" s="73"/>
      <c r="AF19" s="73"/>
      <c r="AG19" s="73"/>
      <c r="AH19" s="73"/>
      <c r="AI19" s="73"/>
      <c r="AJ19" s="73"/>
      <c r="AK19" s="73"/>
      <c r="AL19" s="73"/>
      <c r="AM19" s="73"/>
      <c r="AN19" s="73"/>
      <c r="AP19" s="33" t="s">
        <v>99</v>
      </c>
      <c r="AQ19" s="68" t="s">
        <v>59</v>
      </c>
      <c r="AR19" s="69" t="s">
        <v>92</v>
      </c>
      <c r="AS19" s="70" t="s">
        <v>59</v>
      </c>
      <c r="AT19" s="71" t="s">
        <v>92</v>
      </c>
    </row>
    <row r="20" spans="1:50" ht="20.25" customHeight="1" x14ac:dyDescent="0.15">
      <c r="A20" s="417">
        <v>1</v>
      </c>
      <c r="B20" s="74" t="str">
        <f>'صفحة الغلاف'!$H$16</f>
        <v>الإدارة الوسطى</v>
      </c>
      <c r="C20" s="327" t="s">
        <v>269</v>
      </c>
      <c r="D20" s="328" t="s">
        <v>270</v>
      </c>
      <c r="E20" s="328"/>
      <c r="F20" s="328"/>
      <c r="G20" s="328"/>
      <c r="H20" s="329"/>
      <c r="I20" s="183" t="s">
        <v>103</v>
      </c>
      <c r="J20" s="401"/>
      <c r="K20" s="75" t="s">
        <v>104</v>
      </c>
      <c r="L20" s="76">
        <v>3</v>
      </c>
      <c r="M20" s="418">
        <f>AVERAGE(L20:L21)</f>
        <v>3</v>
      </c>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P20" s="33" t="s">
        <v>99</v>
      </c>
      <c r="AQ20" s="68" t="s">
        <v>67</v>
      </c>
      <c r="AR20" s="69" t="s">
        <v>105</v>
      </c>
      <c r="AS20" s="77" t="s">
        <v>67</v>
      </c>
      <c r="AT20" s="71" t="s">
        <v>105</v>
      </c>
    </row>
    <row r="21" spans="1:50" s="66" customFormat="1" ht="24.75" customHeight="1" x14ac:dyDescent="0.2">
      <c r="A21" s="419"/>
      <c r="B21" s="74" t="str">
        <f>'صفحة الغلاف'!$H$16</f>
        <v>الإدارة الوسطى</v>
      </c>
      <c r="C21" s="327"/>
      <c r="D21" s="328" t="s">
        <v>271</v>
      </c>
      <c r="E21" s="328"/>
      <c r="F21" s="328"/>
      <c r="G21" s="328"/>
      <c r="H21" s="329"/>
      <c r="I21" s="407"/>
      <c r="J21" s="401"/>
      <c r="K21" s="75" t="s">
        <v>106</v>
      </c>
      <c r="L21" s="76">
        <v>3</v>
      </c>
      <c r="M21" s="420"/>
      <c r="AO21" s="24"/>
      <c r="AP21" s="33" t="s">
        <v>99</v>
      </c>
      <c r="AQ21" s="68" t="s">
        <v>71</v>
      </c>
      <c r="AR21" s="28"/>
      <c r="AS21" s="70" t="s">
        <v>71</v>
      </c>
      <c r="AT21" s="28"/>
      <c r="AX21" s="64"/>
    </row>
    <row r="22" spans="1:50" s="44" customFormat="1" ht="27.75" customHeight="1" thickBot="1" x14ac:dyDescent="0.2">
      <c r="A22" s="421">
        <v>2</v>
      </c>
      <c r="B22" s="78" t="str">
        <f>'صفحة الغلاف'!$H$16</f>
        <v>الإدارة الوسطى</v>
      </c>
      <c r="C22" s="330" t="s">
        <v>272</v>
      </c>
      <c r="D22" s="331" t="s">
        <v>273</v>
      </c>
      <c r="E22" s="331"/>
      <c r="F22" s="331"/>
      <c r="G22" s="331"/>
      <c r="H22" s="332"/>
      <c r="I22" s="212" t="s">
        <v>107</v>
      </c>
      <c r="J22" s="401"/>
      <c r="K22" s="77" t="s">
        <v>108</v>
      </c>
      <c r="L22" s="79">
        <v>3</v>
      </c>
      <c r="M22" s="418">
        <f>AVERAGE(L22:L23)</f>
        <v>3</v>
      </c>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P22" s="33" t="s">
        <v>99</v>
      </c>
      <c r="AQ22" s="68" t="s">
        <v>72</v>
      </c>
      <c r="AR22" s="28"/>
      <c r="AS22" s="70" t="s">
        <v>72</v>
      </c>
      <c r="AT22" s="28"/>
      <c r="AU22" s="24"/>
      <c r="AV22" s="24"/>
      <c r="AW22" s="24"/>
      <c r="AX22" s="24"/>
    </row>
    <row r="23" spans="1:50" ht="27.75" customHeight="1" thickBot="1" x14ac:dyDescent="0.2">
      <c r="A23" s="419"/>
      <c r="B23" s="78" t="str">
        <f>'صفحة الغلاف'!$H$16</f>
        <v>الإدارة الوسطى</v>
      </c>
      <c r="C23" s="330">
        <f>IF(B23="Top Management",VLOOKUP(B23,AP6:AQ10,2,0),IF(B23="Middle Management",VLOOKUP(B23,AP11:AQ15,2,0),IF(B23="Staff",VLOOKUP(B23,AP16:AQ20,2,0),IF(B23="Blue Collar - lead",VLOOKUP(B23,AP21:AQ25,2,0),IF(B23="Blue Collar - Technicians",VLOOKUP(B23,AP27:AQ31,2,0),0)))))</f>
        <v>0</v>
      </c>
      <c r="D23" s="331" t="s">
        <v>274</v>
      </c>
      <c r="E23" s="331"/>
      <c r="F23" s="331"/>
      <c r="G23" s="331"/>
      <c r="H23" s="332"/>
      <c r="I23" s="407"/>
      <c r="J23" s="401"/>
      <c r="K23" s="77" t="s">
        <v>109</v>
      </c>
      <c r="L23" s="79">
        <v>3</v>
      </c>
      <c r="M23" s="420"/>
      <c r="P23" s="81"/>
      <c r="Q23" s="81"/>
      <c r="R23" s="81"/>
      <c r="S23" s="81"/>
      <c r="T23" s="81"/>
      <c r="U23" s="81"/>
      <c r="V23" s="81"/>
      <c r="W23" s="81"/>
      <c r="X23" s="81"/>
      <c r="Y23" s="81"/>
      <c r="Z23" s="81"/>
      <c r="AA23" s="81"/>
      <c r="AB23" s="81"/>
      <c r="AC23" s="81"/>
      <c r="AD23" s="81"/>
      <c r="AE23" s="81"/>
      <c r="AF23" s="81"/>
      <c r="AG23" s="81"/>
      <c r="AH23" s="81"/>
      <c r="AI23" s="81"/>
      <c r="AJ23" s="81"/>
      <c r="AK23" s="81"/>
      <c r="AL23" s="81"/>
      <c r="AP23" s="33" t="s">
        <v>43</v>
      </c>
      <c r="AQ23" s="68" t="s">
        <v>55</v>
      </c>
      <c r="AR23" s="399" t="s">
        <v>286</v>
      </c>
      <c r="AS23" s="70"/>
      <c r="AT23" s="82" t="s">
        <v>89</v>
      </c>
    </row>
    <row r="24" spans="1:50" ht="27.75" customHeight="1" thickBot="1" x14ac:dyDescent="0.2">
      <c r="A24" s="417">
        <v>3</v>
      </c>
      <c r="B24" s="74" t="str">
        <f>'صفحة الغلاف'!$H$16</f>
        <v>الإدارة الوسطى</v>
      </c>
      <c r="C24" s="327" t="s">
        <v>275</v>
      </c>
      <c r="D24" s="328" t="s">
        <v>276</v>
      </c>
      <c r="E24" s="328"/>
      <c r="F24" s="328"/>
      <c r="G24" s="328"/>
      <c r="H24" s="329"/>
      <c r="I24" s="183" t="s">
        <v>110</v>
      </c>
      <c r="J24" s="401"/>
      <c r="K24" s="75" t="s">
        <v>111</v>
      </c>
      <c r="L24" s="76">
        <v>3</v>
      </c>
      <c r="M24" s="418">
        <f>AVERAGE(L24:L25)</f>
        <v>3</v>
      </c>
      <c r="P24" s="81"/>
      <c r="Q24" s="81"/>
      <c r="R24" s="81"/>
      <c r="S24" s="81"/>
      <c r="T24" s="81"/>
      <c r="U24" s="81"/>
      <c r="V24" s="81"/>
      <c r="W24" s="81"/>
      <c r="X24" s="81"/>
      <c r="Y24" s="81"/>
      <c r="Z24" s="81"/>
      <c r="AA24" s="81"/>
      <c r="AB24" s="81"/>
      <c r="AC24" s="81"/>
      <c r="AD24" s="81"/>
      <c r="AE24" s="81"/>
      <c r="AF24" s="81"/>
      <c r="AG24" s="81"/>
      <c r="AH24" s="81"/>
      <c r="AI24" s="81"/>
      <c r="AJ24" s="81"/>
      <c r="AK24" s="81"/>
      <c r="AL24" s="81"/>
      <c r="AP24" s="33" t="s">
        <v>43</v>
      </c>
      <c r="AQ24" s="68" t="s">
        <v>59</v>
      </c>
      <c r="AR24" s="399" t="s">
        <v>287</v>
      </c>
      <c r="AS24" s="70"/>
      <c r="AT24" s="82" t="s">
        <v>92</v>
      </c>
    </row>
    <row r="25" spans="1:50" ht="27.75" customHeight="1" thickBot="1" x14ac:dyDescent="0.2">
      <c r="A25" s="419"/>
      <c r="B25" s="74"/>
      <c r="C25" s="333"/>
      <c r="D25" s="334" t="s">
        <v>277</v>
      </c>
      <c r="E25" s="334"/>
      <c r="F25" s="334"/>
      <c r="G25" s="334"/>
      <c r="H25" s="335"/>
      <c r="I25" s="408"/>
      <c r="J25" s="409"/>
      <c r="K25" s="83" t="s">
        <v>112</v>
      </c>
      <c r="L25" s="84">
        <v>3</v>
      </c>
      <c r="M25" s="420"/>
      <c r="P25" s="81"/>
      <c r="Q25" s="81"/>
      <c r="R25" s="81"/>
      <c r="S25" s="81"/>
      <c r="T25" s="81"/>
      <c r="U25" s="81"/>
      <c r="V25" s="81"/>
      <c r="W25" s="81"/>
      <c r="X25" s="81"/>
      <c r="Y25" s="81"/>
      <c r="Z25" s="81"/>
      <c r="AA25" s="81"/>
      <c r="AB25" s="81"/>
      <c r="AC25" s="81"/>
      <c r="AD25" s="81"/>
      <c r="AE25" s="81"/>
      <c r="AF25" s="81"/>
      <c r="AG25" s="81"/>
      <c r="AH25" s="81"/>
      <c r="AI25" s="81"/>
      <c r="AJ25" s="81"/>
      <c r="AK25" s="81"/>
      <c r="AL25" s="81"/>
      <c r="AP25" s="33" t="s">
        <v>43</v>
      </c>
      <c r="AQ25" s="68" t="s">
        <v>67</v>
      </c>
      <c r="AR25" s="399" t="s">
        <v>288</v>
      </c>
      <c r="AS25" s="77"/>
      <c r="AT25" s="82" t="s">
        <v>105</v>
      </c>
    </row>
    <row r="26" spans="1:50" ht="27.75" customHeight="1" thickBot="1" x14ac:dyDescent="0.2">
      <c r="A26" s="85"/>
      <c r="B26" s="425"/>
      <c r="C26" s="427" t="s">
        <v>289</v>
      </c>
      <c r="D26" s="355"/>
      <c r="E26" s="355"/>
      <c r="F26" s="355"/>
      <c r="G26" s="355"/>
      <c r="H26" s="356"/>
      <c r="I26" s="391" t="s">
        <v>113</v>
      </c>
      <c r="J26" s="392"/>
      <c r="K26" s="392"/>
      <c r="L26" s="428"/>
      <c r="M26" s="426" t="s">
        <v>101</v>
      </c>
      <c r="P26" s="81"/>
      <c r="Q26" s="81"/>
      <c r="R26" s="81"/>
      <c r="S26" s="81"/>
      <c r="T26" s="81"/>
      <c r="U26" s="81"/>
      <c r="V26" s="81"/>
      <c r="W26" s="81"/>
      <c r="X26" s="81"/>
      <c r="Y26" s="81"/>
      <c r="Z26" s="81"/>
      <c r="AA26" s="81"/>
      <c r="AB26" s="81"/>
      <c r="AC26" s="81"/>
      <c r="AD26" s="81"/>
      <c r="AE26" s="81"/>
      <c r="AF26" s="81"/>
      <c r="AG26" s="81"/>
      <c r="AH26" s="81"/>
      <c r="AI26" s="81"/>
      <c r="AJ26" s="81"/>
      <c r="AK26" s="81"/>
      <c r="AL26" s="81"/>
      <c r="AP26" s="33"/>
      <c r="AQ26" s="68" t="s">
        <v>71</v>
      </c>
      <c r="AR26" s="86"/>
      <c r="AS26" s="70" t="s">
        <v>71</v>
      </c>
      <c r="AT26" s="86"/>
    </row>
    <row r="27" spans="1:50" ht="27.75" customHeight="1" thickBot="1" x14ac:dyDescent="0.2">
      <c r="A27" s="49">
        <v>4</v>
      </c>
      <c r="B27" s="360" t="str">
        <f>'صفحة الغلاف'!$H$16</f>
        <v>الإدارة الوسطى</v>
      </c>
      <c r="C27" s="429" t="str">
        <f>IF(B27="الإدارة العليا",VLOOKUP(B27,AP3:AR7,3,0),IF(B27="الإدارة الوسطى",VLOOKUP(B27,AP8:AR12,3,0),IF(B27="الموظفون",VLOOKUP(B27,AP13:AR17,3,0),IF(B27="العمالة الفنية",VLOOKUP(B27,AP18:AR22,3,0),IF(B27="العمالة الفنية - فنيون",VLOOKUP(B27,AP23:AR28,3,0),0)))))</f>
        <v>Analysis &amp; Pattern Recognition</v>
      </c>
      <c r="D27" s="358"/>
      <c r="E27" s="358"/>
      <c r="F27" s="358"/>
      <c r="G27" s="358"/>
      <c r="H27" s="359"/>
      <c r="I27" s="357" t="str">
        <f>IF(B27="الإدارة العليا",VLOOKUP(B27,AP3:AT7,5,0),IF(B27="الإدارة الوسطى",VLOOKUP(B27,AP8:AT12,5,0),IF(B27="الموظفون",VLOOKUP(B27,AP13:AT17,5,0),IF(B27="العمالة الفنية - قائد",VLOOKUP(B27,AP18:AT22,5,0),IF(B27="العمالة الفنية - فنيون",VLOOKUP(B27,AP23:AT28,5,0),0)))))</f>
        <v>التحليل والتعرف على الأنماط</v>
      </c>
      <c r="J27" s="358"/>
      <c r="K27" s="358"/>
      <c r="L27" s="430"/>
      <c r="M27" s="361">
        <v>3</v>
      </c>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P27" s="33" t="s">
        <v>43</v>
      </c>
      <c r="AQ27" s="68" t="s">
        <v>72</v>
      </c>
      <c r="AR27" s="86"/>
      <c r="AS27" s="70" t="s">
        <v>72</v>
      </c>
      <c r="AT27" s="86"/>
    </row>
    <row r="28" spans="1:50" ht="27.75" customHeight="1" x14ac:dyDescent="0.15">
      <c r="A28" s="46">
        <v>5</v>
      </c>
      <c r="B28" s="360" t="str">
        <f>'صفحة الغلاف'!$H$16</f>
        <v>الإدارة الوسطى</v>
      </c>
      <c r="C28" s="431" t="str">
        <f>IF(B28="الإدارة العليا",VLOOKUP(B28,AP4:AR8,3,0),IF(B28="الإدارة الوسطى",VLOOKUP(B28,AP9:AR13,3,0),IF(B28="الموظفون",VLOOKUP(B28,AP14:AR18,3,0),IF(B28="العمالة الفنية",VLOOKUP(B28,AP19:AR23,3,0),IF(B28="العمالة الفنية - فنيون",VLOOKUP(B28,AP24:AR29,3,0),0)))))</f>
        <v>Delegation &amp; People Management &amp; Development</v>
      </c>
      <c r="D28" s="389"/>
      <c r="E28" s="389"/>
      <c r="F28" s="389"/>
      <c r="G28" s="389"/>
      <c r="H28" s="390"/>
      <c r="I28" s="388" t="str">
        <f>IF(B28="الإدارة العليا",VLOOKUP(B28,AP4:AT8,5,0),IF(B28="الإدارة الوسطى",VLOOKUP(B28,AP9:AT13,5,0),IF(B28="الموظفون",VLOOKUP(B28,AP14:AT18,5,0),IF(B28="العمالة الفنية - قائد",VLOOKUP(B28,AP19:AT23,5,0),IF(B28="العمالة الفنية - فنيون",VLOOKUP(B28,AP24:AT29,5,0),0)))))</f>
        <v>تطوير وتفويض وتحفيز العاملين</v>
      </c>
      <c r="J28" s="389"/>
      <c r="K28" s="389"/>
      <c r="L28" s="432"/>
      <c r="M28" s="361">
        <v>3</v>
      </c>
      <c r="O28" s="81"/>
      <c r="P28" s="81"/>
      <c r="Q28" s="81"/>
      <c r="R28" s="81"/>
      <c r="S28" s="81"/>
      <c r="T28" s="81"/>
      <c r="U28" s="81"/>
      <c r="V28" s="81"/>
      <c r="W28" s="81"/>
      <c r="X28" s="81"/>
      <c r="Y28" s="81"/>
      <c r="Z28" s="81"/>
      <c r="AA28" s="81"/>
      <c r="AB28" s="81"/>
      <c r="AC28" s="81"/>
      <c r="AD28" s="81"/>
      <c r="AE28" s="81"/>
      <c r="AF28" s="81"/>
      <c r="AG28" s="81"/>
      <c r="AH28" s="81"/>
      <c r="AI28" s="81"/>
      <c r="AJ28" s="81"/>
      <c r="AK28" s="81"/>
      <c r="AL28" s="81"/>
      <c r="AP28" s="33" t="s">
        <v>43</v>
      </c>
      <c r="AQ28" s="28"/>
      <c r="AR28" s="28"/>
      <c r="AS28" s="28"/>
      <c r="AT28" s="28"/>
    </row>
    <row r="29" spans="1:50" ht="27.75" customHeight="1" thickBot="1" x14ac:dyDescent="0.2">
      <c r="A29" s="49">
        <v>6</v>
      </c>
      <c r="B29" s="360" t="str">
        <f>'صفحة الغلاف'!$H$16</f>
        <v>الإدارة الوسطى</v>
      </c>
      <c r="C29" s="433" t="str">
        <f>IF(B29="الإدارة العليا",VLOOKUP(B29,AP5:AR9,3,0),IF(B29="الإدارة الوسطى",VLOOKUP(B29,AP10:AR14,3,0),IF(B29="الموظفون",VLOOKUP(B29,AP15:AR19,3,0),IF(B29="العمالة الفنية - قائد",VLOOKUP(B29,AP20:AR24,3,0),IF(B29="العمالة الفنية - فنيون",VLOOKUP(B29,AP25:AR30,3,0),0)))))</f>
        <v>Leadership</v>
      </c>
      <c r="D29" s="386"/>
      <c r="E29" s="386"/>
      <c r="F29" s="386"/>
      <c r="G29" s="386"/>
      <c r="H29" s="387"/>
      <c r="I29" s="385" t="str">
        <f>IF(B29="الإدارة العليا",VLOOKUP(B29,AP5:AT9,5,0),IF(B29="الإدارة الوسطى",VLOOKUP(B29,AP10:AT14,5,0),IF(B29="الموظفون",VLOOKUP(B29,AP15:AT19,5,0),IF(B29="العمالة الفنية - قائد",VLOOKUP(B29,AP20:AT24,5,0),IF(B29="العمالة الفنية - فنيون",VLOOKUP(B29,AP25:AT30,5,0),0)))))</f>
        <v>القدرات القيادية</v>
      </c>
      <c r="J29" s="386"/>
      <c r="K29" s="386"/>
      <c r="L29" s="434"/>
      <c r="M29" s="361">
        <v>3</v>
      </c>
      <c r="N29" s="80"/>
      <c r="O29" s="81"/>
      <c r="P29" s="81"/>
      <c r="Q29" s="81"/>
      <c r="R29" s="81"/>
      <c r="S29" s="81"/>
      <c r="T29" s="81"/>
      <c r="U29" s="81"/>
      <c r="V29" s="81"/>
      <c r="W29" s="81"/>
      <c r="X29" s="81"/>
      <c r="Y29" s="81"/>
      <c r="Z29" s="80"/>
      <c r="AA29" s="80"/>
      <c r="AB29" s="80"/>
      <c r="AC29" s="80"/>
      <c r="AD29" s="80"/>
      <c r="AE29" s="80"/>
      <c r="AF29" s="80"/>
      <c r="AG29" s="80"/>
      <c r="AH29" s="80"/>
      <c r="AI29" s="80"/>
      <c r="AJ29" s="80"/>
      <c r="AK29" s="80"/>
      <c r="AL29" s="80"/>
    </row>
    <row r="30" spans="1:50" ht="27.75" customHeight="1" thickBot="1" x14ac:dyDescent="0.2">
      <c r="A30" s="87"/>
      <c r="B30" s="88"/>
      <c r="C30" s="89"/>
      <c r="D30" s="89"/>
      <c r="E30" s="89"/>
      <c r="F30" s="89"/>
      <c r="G30" s="89"/>
      <c r="H30" s="89"/>
      <c r="I30" s="89"/>
      <c r="J30" s="89"/>
      <c r="K30" s="89"/>
      <c r="L30" s="90"/>
      <c r="M30" s="91"/>
      <c r="N30" s="81"/>
      <c r="O30" s="81"/>
      <c r="P30" s="81"/>
      <c r="Q30" s="81"/>
      <c r="R30" s="81"/>
      <c r="S30" s="81"/>
      <c r="T30" s="81"/>
      <c r="U30" s="81"/>
      <c r="V30" s="81"/>
      <c r="W30" s="81"/>
      <c r="X30" s="81"/>
      <c r="Y30" s="81"/>
      <c r="Z30" s="81"/>
      <c r="AA30" s="81"/>
      <c r="AB30" s="81"/>
      <c r="AC30" s="81"/>
      <c r="AD30" s="81"/>
      <c r="AE30" s="81"/>
      <c r="AF30" s="81"/>
      <c r="AG30" s="81"/>
      <c r="AH30" s="81"/>
      <c r="AI30" s="81"/>
      <c r="AJ30" s="81"/>
      <c r="AK30" s="81"/>
      <c r="AL30" s="81"/>
      <c r="AQ30" s="44"/>
      <c r="AR30" s="44"/>
    </row>
    <row r="31" spans="1:50" ht="27.75" customHeight="1" thickBot="1" x14ac:dyDescent="0.2">
      <c r="A31" s="215" t="s">
        <v>114</v>
      </c>
      <c r="B31" s="196"/>
      <c r="C31" s="196"/>
      <c r="D31" s="196"/>
      <c r="E31" s="196"/>
      <c r="F31" s="196"/>
      <c r="G31" s="196"/>
      <c r="H31" s="196"/>
      <c r="I31" s="196"/>
      <c r="J31" s="196"/>
      <c r="K31" s="196"/>
      <c r="L31" s="196"/>
      <c r="M31" s="197"/>
      <c r="N31" s="81"/>
      <c r="O31" s="81"/>
      <c r="P31" s="81"/>
      <c r="Q31" s="81"/>
      <c r="R31" s="81"/>
      <c r="S31" s="81"/>
      <c r="T31" s="81"/>
      <c r="U31" s="81"/>
      <c r="V31" s="81"/>
      <c r="W31" s="81"/>
      <c r="X31" s="81"/>
      <c r="Y31" s="81"/>
      <c r="Z31" s="81"/>
      <c r="AA31" s="81"/>
      <c r="AB31" s="81"/>
      <c r="AC31" s="81"/>
      <c r="AD31" s="81"/>
      <c r="AE31" s="81"/>
      <c r="AF31" s="81"/>
      <c r="AG31" s="81"/>
      <c r="AH31" s="81"/>
      <c r="AI31" s="81"/>
      <c r="AJ31" s="81"/>
      <c r="AK31" s="81"/>
      <c r="AL31" s="81"/>
      <c r="AP31" s="44"/>
    </row>
    <row r="32" spans="1:50" ht="19.5" customHeight="1" x14ac:dyDescent="0.15">
      <c r="A32" s="234" t="s">
        <v>115</v>
      </c>
      <c r="B32" s="218"/>
      <c r="C32" s="218"/>
      <c r="D32" s="218"/>
      <c r="E32" s="218"/>
      <c r="F32" s="218"/>
      <c r="G32" s="218"/>
      <c r="H32" s="219"/>
      <c r="I32" s="217" t="s">
        <v>18</v>
      </c>
      <c r="J32" s="218"/>
      <c r="K32" s="218"/>
      <c r="L32" s="218"/>
      <c r="M32" s="253"/>
      <c r="N32" s="81"/>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Q32" s="44"/>
      <c r="AR32" s="44"/>
      <c r="AS32" s="92"/>
    </row>
    <row r="33" spans="1:48" s="44" customFormat="1" ht="22.5" customHeight="1" x14ac:dyDescent="0.15">
      <c r="A33" s="200"/>
      <c r="B33" s="201"/>
      <c r="C33" s="201"/>
      <c r="D33" s="201"/>
      <c r="E33" s="201"/>
      <c r="F33" s="201"/>
      <c r="G33" s="201"/>
      <c r="H33" s="202"/>
      <c r="I33" s="207"/>
      <c r="J33" s="201"/>
      <c r="K33" s="201"/>
      <c r="L33" s="201"/>
      <c r="M33" s="265"/>
      <c r="N33" s="93"/>
      <c r="O33" s="81"/>
      <c r="P33" s="81"/>
      <c r="Q33" s="81"/>
      <c r="R33" s="81"/>
      <c r="S33" s="81"/>
      <c r="T33" s="81"/>
      <c r="U33" s="81"/>
      <c r="V33" s="81"/>
      <c r="W33" s="81"/>
      <c r="X33" s="81"/>
      <c r="Y33" s="81"/>
      <c r="Z33" s="93"/>
      <c r="AA33" s="93"/>
      <c r="AB33" s="93"/>
      <c r="AC33" s="93"/>
      <c r="AD33" s="93"/>
      <c r="AE33" s="93"/>
      <c r="AF33" s="93"/>
      <c r="AG33" s="93"/>
      <c r="AH33" s="93"/>
      <c r="AI33" s="93"/>
      <c r="AJ33" s="93"/>
      <c r="AK33" s="93"/>
      <c r="AL33" s="93"/>
      <c r="AQ33" s="24"/>
      <c r="AR33" s="24"/>
      <c r="AS33" s="92"/>
      <c r="AU33" s="24"/>
    </row>
    <row r="34" spans="1:48" ht="22.5" customHeight="1" x14ac:dyDescent="0.15">
      <c r="A34" s="203"/>
      <c r="B34" s="382"/>
      <c r="C34" s="382"/>
      <c r="D34" s="382"/>
      <c r="E34" s="382"/>
      <c r="F34" s="382"/>
      <c r="G34" s="382"/>
      <c r="H34" s="204"/>
      <c r="I34" s="208"/>
      <c r="J34" s="382"/>
      <c r="K34" s="382"/>
      <c r="L34" s="382"/>
      <c r="M34" s="256"/>
      <c r="N34" s="61"/>
      <c r="O34" s="81"/>
      <c r="P34" s="81"/>
      <c r="Q34" s="81"/>
      <c r="R34" s="81"/>
      <c r="S34" s="81"/>
      <c r="T34" s="81"/>
      <c r="U34" s="81"/>
      <c r="V34" s="81"/>
      <c r="W34" s="81"/>
      <c r="X34" s="81"/>
      <c r="Y34" s="81"/>
      <c r="Z34" s="61"/>
      <c r="AA34" s="61"/>
      <c r="AB34" s="61"/>
      <c r="AC34" s="61"/>
      <c r="AD34" s="61"/>
      <c r="AE34" s="61"/>
      <c r="AF34" s="61"/>
      <c r="AG34" s="61"/>
      <c r="AH34" s="61"/>
      <c r="AI34" s="61"/>
      <c r="AJ34" s="61"/>
      <c r="AK34" s="61"/>
      <c r="AL34" s="61"/>
      <c r="AS34" s="92"/>
    </row>
    <row r="35" spans="1:48" s="44" customFormat="1" ht="22.5" customHeight="1" x14ac:dyDescent="0.15">
      <c r="A35" s="203"/>
      <c r="B35" s="382"/>
      <c r="C35" s="382"/>
      <c r="D35" s="382"/>
      <c r="E35" s="382"/>
      <c r="F35" s="382"/>
      <c r="G35" s="382"/>
      <c r="H35" s="204"/>
      <c r="I35" s="208"/>
      <c r="J35" s="382"/>
      <c r="K35" s="382"/>
      <c r="L35" s="382"/>
      <c r="M35" s="256"/>
      <c r="N35" s="48"/>
      <c r="O35" s="81"/>
      <c r="P35" s="81"/>
      <c r="Q35" s="81"/>
      <c r="R35" s="81"/>
      <c r="S35" s="81"/>
      <c r="T35" s="81"/>
      <c r="U35" s="81"/>
      <c r="V35" s="81"/>
      <c r="W35" s="81"/>
      <c r="X35" s="81"/>
      <c r="Y35" s="81"/>
      <c r="Z35" s="48"/>
      <c r="AA35" s="48"/>
      <c r="AB35" s="48"/>
      <c r="AC35" s="48"/>
      <c r="AD35" s="48"/>
      <c r="AE35" s="48"/>
      <c r="AF35" s="48"/>
      <c r="AG35" s="48"/>
      <c r="AH35" s="48"/>
      <c r="AI35" s="48"/>
      <c r="AJ35" s="48"/>
      <c r="AK35" s="48"/>
      <c r="AL35" s="48"/>
      <c r="AP35" s="24"/>
      <c r="AQ35" s="24"/>
      <c r="AR35" s="24"/>
      <c r="AS35" s="92"/>
      <c r="AU35" s="81"/>
      <c r="AV35" s="24"/>
    </row>
    <row r="36" spans="1:48" ht="22.5" customHeight="1" x14ac:dyDescent="0.15">
      <c r="A36" s="203"/>
      <c r="B36" s="382"/>
      <c r="C36" s="382"/>
      <c r="D36" s="382"/>
      <c r="E36" s="382"/>
      <c r="F36" s="382"/>
      <c r="G36" s="382"/>
      <c r="H36" s="204"/>
      <c r="I36" s="208"/>
      <c r="J36" s="382"/>
      <c r="K36" s="382"/>
      <c r="L36" s="382"/>
      <c r="M36" s="256"/>
      <c r="N36" s="61"/>
      <c r="O36" s="81"/>
      <c r="P36" s="81"/>
      <c r="Q36" s="81"/>
      <c r="R36" s="81"/>
      <c r="S36" s="81"/>
      <c r="T36" s="81"/>
      <c r="U36" s="81"/>
      <c r="V36" s="81"/>
      <c r="W36" s="81"/>
      <c r="X36" s="81"/>
      <c r="Y36" s="81"/>
      <c r="Z36" s="61"/>
      <c r="AA36" s="61"/>
      <c r="AB36" s="61"/>
      <c r="AC36" s="61"/>
      <c r="AD36" s="61"/>
      <c r="AE36" s="61"/>
      <c r="AF36" s="61"/>
      <c r="AG36" s="61"/>
      <c r="AH36" s="61"/>
      <c r="AI36" s="61"/>
      <c r="AJ36" s="61"/>
      <c r="AK36" s="61"/>
      <c r="AL36" s="61"/>
      <c r="AS36" s="92"/>
      <c r="AU36" s="81"/>
      <c r="AV36" s="44"/>
    </row>
    <row r="37" spans="1:48" ht="15" customHeight="1" x14ac:dyDescent="0.15">
      <c r="A37" s="203"/>
      <c r="B37" s="382"/>
      <c r="C37" s="382"/>
      <c r="D37" s="382"/>
      <c r="E37" s="382"/>
      <c r="F37" s="382"/>
      <c r="G37" s="382"/>
      <c r="H37" s="204"/>
      <c r="I37" s="208"/>
      <c r="J37" s="382"/>
      <c r="K37" s="382"/>
      <c r="L37" s="382"/>
      <c r="M37" s="256"/>
      <c r="N37" s="48"/>
      <c r="O37" s="81"/>
      <c r="P37" s="81"/>
      <c r="Q37" s="81"/>
      <c r="R37" s="81"/>
      <c r="S37" s="81"/>
      <c r="T37" s="81"/>
      <c r="U37" s="81"/>
      <c r="V37" s="81"/>
      <c r="W37" s="81"/>
      <c r="X37" s="81"/>
      <c r="Y37" s="81"/>
      <c r="Z37" s="48"/>
      <c r="AA37" s="48"/>
      <c r="AB37" s="48"/>
      <c r="AC37" s="48"/>
      <c r="AD37" s="48"/>
      <c r="AE37" s="48"/>
      <c r="AF37" s="48"/>
      <c r="AG37" s="48"/>
      <c r="AH37" s="48"/>
      <c r="AI37" s="48"/>
      <c r="AJ37" s="48"/>
      <c r="AK37" s="48"/>
      <c r="AL37" s="48"/>
      <c r="AS37" s="92"/>
      <c r="AU37" s="81"/>
    </row>
    <row r="38" spans="1:48" ht="15.75" customHeight="1" x14ac:dyDescent="0.15">
      <c r="A38" s="205"/>
      <c r="B38" s="206"/>
      <c r="C38" s="206"/>
      <c r="D38" s="206"/>
      <c r="E38" s="206"/>
      <c r="F38" s="206"/>
      <c r="G38" s="206"/>
      <c r="H38" s="193"/>
      <c r="I38" s="209"/>
      <c r="J38" s="206"/>
      <c r="K38" s="206"/>
      <c r="L38" s="206"/>
      <c r="M38" s="422"/>
      <c r="O38" s="81"/>
      <c r="P38" s="81"/>
      <c r="Q38" s="81"/>
      <c r="R38" s="81"/>
      <c r="S38" s="81"/>
      <c r="T38" s="81"/>
      <c r="U38" s="81"/>
      <c r="V38" s="81"/>
      <c r="W38" s="81"/>
      <c r="X38" s="81"/>
      <c r="Y38" s="81"/>
      <c r="AS38" s="92"/>
      <c r="AU38" s="81"/>
      <c r="AV38" s="44"/>
    </row>
    <row r="39" spans="1:48" ht="15.75" customHeight="1" x14ac:dyDescent="0.15">
      <c r="A39" s="176" t="s">
        <v>115</v>
      </c>
      <c r="B39" s="177"/>
      <c r="C39" s="177"/>
      <c r="D39" s="177"/>
      <c r="E39" s="178"/>
      <c r="F39" s="176" t="s">
        <v>23</v>
      </c>
      <c r="G39" s="177"/>
      <c r="H39" s="177"/>
      <c r="I39" s="177"/>
      <c r="J39" s="178"/>
      <c r="K39" s="176" t="s">
        <v>116</v>
      </c>
      <c r="L39" s="178"/>
      <c r="M39" s="94" t="s">
        <v>117</v>
      </c>
      <c r="AS39" s="92"/>
      <c r="AU39" s="81"/>
    </row>
    <row r="40" spans="1:48" ht="15.75" customHeight="1" x14ac:dyDescent="0.15">
      <c r="A40" s="210">
        <f>'صفحة الغلاف'!D6</f>
        <v>0</v>
      </c>
      <c r="B40" s="196"/>
      <c r="C40" s="196"/>
      <c r="D40" s="196"/>
      <c r="E40" s="197"/>
      <c r="F40" s="211">
        <f>'صفحة الغلاف'!D8</f>
        <v>0</v>
      </c>
      <c r="G40" s="410"/>
      <c r="H40" s="410"/>
      <c r="I40" s="410"/>
      <c r="J40" s="172"/>
      <c r="K40" s="220"/>
      <c r="L40" s="221"/>
      <c r="M40" s="95"/>
      <c r="AS40" s="92"/>
      <c r="AU40" s="81"/>
    </row>
    <row r="41" spans="1:48" ht="15.75" customHeight="1" x14ac:dyDescent="0.15">
      <c r="A41" s="195" t="s">
        <v>18</v>
      </c>
      <c r="B41" s="196"/>
      <c r="C41" s="196"/>
      <c r="D41" s="196"/>
      <c r="E41" s="197"/>
      <c r="F41" s="195" t="s">
        <v>23</v>
      </c>
      <c r="G41" s="196"/>
      <c r="H41" s="196"/>
      <c r="I41" s="196"/>
      <c r="J41" s="197"/>
      <c r="K41" s="195" t="s">
        <v>116</v>
      </c>
      <c r="L41" s="197"/>
      <c r="M41" s="96" t="s">
        <v>117</v>
      </c>
      <c r="AS41" s="92"/>
      <c r="AU41" s="81"/>
    </row>
    <row r="42" spans="1:48" ht="15.75" customHeight="1" x14ac:dyDescent="0.15">
      <c r="A42" s="210">
        <f>'صفحة الغلاف'!J6</f>
        <v>0</v>
      </c>
      <c r="B42" s="196"/>
      <c r="C42" s="196"/>
      <c r="D42" s="196"/>
      <c r="E42" s="197"/>
      <c r="F42" s="210">
        <f>'صفحة الغلاف'!J8</f>
        <v>0</v>
      </c>
      <c r="G42" s="196"/>
      <c r="H42" s="196"/>
      <c r="I42" s="196"/>
      <c r="J42" s="197"/>
      <c r="K42" s="97"/>
      <c r="L42" s="98"/>
      <c r="M42" s="99"/>
      <c r="AS42" s="92"/>
      <c r="AU42" s="81"/>
    </row>
    <row r="43" spans="1:48" ht="15" customHeight="1" x14ac:dyDescent="0.15">
      <c r="AS43" s="92"/>
      <c r="AU43" s="81"/>
    </row>
    <row r="44" spans="1:48" ht="15" customHeight="1" x14ac:dyDescent="0.15">
      <c r="AS44" s="92"/>
    </row>
    <row r="45" spans="1:48" ht="15" customHeight="1" x14ac:dyDescent="0.15">
      <c r="AS45" s="92"/>
    </row>
    <row r="46" spans="1:48" ht="15" customHeight="1" x14ac:dyDescent="0.15">
      <c r="AS46" s="92"/>
    </row>
    <row r="47" spans="1:48" ht="15" customHeight="1" x14ac:dyDescent="0.15">
      <c r="AS47" s="92"/>
    </row>
    <row r="48" spans="1:48" ht="15" customHeight="1" x14ac:dyDescent="0.15">
      <c r="AS48" s="92"/>
    </row>
  </sheetData>
  <mergeCells count="76">
    <mergeCell ref="A3:M3"/>
    <mergeCell ref="D23:H23"/>
    <mergeCell ref="C29:H29"/>
    <mergeCell ref="C24:C25"/>
    <mergeCell ref="I22:J23"/>
    <mergeCell ref="F15:H15"/>
    <mergeCell ref="J9:K9"/>
    <mergeCell ref="J5:K5"/>
    <mergeCell ref="A15:E15"/>
    <mergeCell ref="L16:M16"/>
    <mergeCell ref="C8:I8"/>
    <mergeCell ref="C20:C21"/>
    <mergeCell ref="J10:K10"/>
    <mergeCell ref="D17:F17"/>
    <mergeCell ref="C7:I7"/>
    <mergeCell ref="D16:F16"/>
    <mergeCell ref="A1:M1"/>
    <mergeCell ref="A22:A23"/>
    <mergeCell ref="I26:L26"/>
    <mergeCell ref="C28:H28"/>
    <mergeCell ref="A42:E42"/>
    <mergeCell ref="J7:K7"/>
    <mergeCell ref="A20:A21"/>
    <mergeCell ref="A13:K13"/>
    <mergeCell ref="C10:I10"/>
    <mergeCell ref="A32:H32"/>
    <mergeCell ref="K39:L39"/>
    <mergeCell ref="I17:J17"/>
    <mergeCell ref="I15:K15"/>
    <mergeCell ref="I28:L28"/>
    <mergeCell ref="D25:H25"/>
    <mergeCell ref="C9:I9"/>
    <mergeCell ref="F42:J42"/>
    <mergeCell ref="J8:K8"/>
    <mergeCell ref="F41:J41"/>
    <mergeCell ref="K40:L40"/>
    <mergeCell ref="C5:I5"/>
    <mergeCell ref="C11:I11"/>
    <mergeCell ref="I27:L27"/>
    <mergeCell ref="A16:C17"/>
    <mergeCell ref="I19:K19"/>
    <mergeCell ref="C19:H19"/>
    <mergeCell ref="J11:K11"/>
    <mergeCell ref="J12:K12"/>
    <mergeCell ref="F39:J39"/>
    <mergeCell ref="G16:H16"/>
    <mergeCell ref="D24:H24"/>
    <mergeCell ref="C12:I12"/>
    <mergeCell ref="A41:E41"/>
    <mergeCell ref="L15:M15"/>
    <mergeCell ref="K41:L41"/>
    <mergeCell ref="A33:H38"/>
    <mergeCell ref="I33:M38"/>
    <mergeCell ref="M24:M25"/>
    <mergeCell ref="A40:E40"/>
    <mergeCell ref="F40:J40"/>
    <mergeCell ref="C22:C23"/>
    <mergeCell ref="D21:H21"/>
    <mergeCell ref="M22:M23"/>
    <mergeCell ref="I16:J16"/>
    <mergeCell ref="I20:J21"/>
    <mergeCell ref="C27:H27"/>
    <mergeCell ref="A31:M31"/>
    <mergeCell ref="I32:M32"/>
    <mergeCell ref="G17:H17"/>
    <mergeCell ref="J6:K6"/>
    <mergeCell ref="C6:I6"/>
    <mergeCell ref="M20:M21"/>
    <mergeCell ref="L17:M17"/>
    <mergeCell ref="A39:E39"/>
    <mergeCell ref="C26:H26"/>
    <mergeCell ref="D20:H20"/>
    <mergeCell ref="A24:A25"/>
    <mergeCell ref="I24:J25"/>
    <mergeCell ref="I29:L29"/>
    <mergeCell ref="D22:H22"/>
  </mergeCells>
  <conditionalFormatting sqref="M13 N16:AL16">
    <cfRule type="containsText" dxfId="7" priority="2" operator="containsText" text="Error">
      <formula>NOT(ISERROR(SEARCH("Error",M13)))</formula>
    </cfRule>
  </conditionalFormatting>
  <printOptions horizontalCentered="1"/>
  <pageMargins left="0.25" right="0.25" top="0.64027777777777795" bottom="0.44027777777777799"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CC"/>
    <pageSetUpPr fitToPage="1"/>
  </sheetPr>
  <dimension ref="A1:U47"/>
  <sheetViews>
    <sheetView showGridLines="0" topLeftCell="A3" zoomScale="62" zoomScaleNormal="100" workbookViewId="0">
      <selection activeCell="M43" sqref="M43"/>
    </sheetView>
  </sheetViews>
  <sheetFormatPr baseColWidth="10" defaultColWidth="9.1640625" defaultRowHeight="15" x14ac:dyDescent="0.15"/>
  <cols>
    <col min="1" max="1" width="3.33203125" style="24" customWidth="1"/>
    <col min="2" max="2" width="12.1640625" style="24" customWidth="1"/>
    <col min="3" max="3" width="6.5" style="24" customWidth="1"/>
    <col min="4" max="4" width="20.33203125" style="24" customWidth="1"/>
    <col min="5" max="5" width="9.5" style="24" customWidth="1"/>
    <col min="6" max="6" width="7" style="24" hidden="1" customWidth="1"/>
    <col min="7" max="7" width="9.83203125" style="24" customWidth="1"/>
    <col min="8" max="8" width="19.1640625" style="24" customWidth="1"/>
    <col min="9" max="9" width="19.5" style="24" customWidth="1"/>
    <col min="10" max="10" width="12.5" style="24" customWidth="1"/>
    <col min="11" max="11" width="9.1640625" style="24" hidden="1" customWidth="1"/>
    <col min="12" max="12" width="9.1640625" style="24" customWidth="1"/>
    <col min="13" max="13" width="39.1640625" style="26" customWidth="1"/>
    <col min="14" max="14" width="71.33203125" style="24" customWidth="1"/>
    <col min="15" max="20" width="9.1640625" style="24" customWidth="1"/>
    <col min="21" max="21" width="13" style="24" hidden="1" customWidth="1"/>
    <col min="22" max="22" width="9.1640625" style="24" customWidth="1"/>
    <col min="23" max="16384" width="9.1640625" style="24"/>
  </cols>
  <sheetData>
    <row r="1" spans="1:21" s="100" customFormat="1" ht="29.25" customHeight="1" x14ac:dyDescent="0.15">
      <c r="A1" s="336" t="s">
        <v>118</v>
      </c>
      <c r="B1" s="337"/>
      <c r="C1" s="337"/>
      <c r="D1" s="337"/>
      <c r="E1" s="337"/>
      <c r="F1" s="337"/>
      <c r="G1" s="337"/>
      <c r="H1" s="337"/>
      <c r="I1" s="337"/>
      <c r="J1" s="337"/>
      <c r="K1" s="337"/>
      <c r="L1" s="337"/>
      <c r="M1" s="337"/>
      <c r="N1" s="338"/>
    </row>
    <row r="2" spans="1:21" ht="6" customHeight="1" x14ac:dyDescent="0.15">
      <c r="A2" s="238" t="s">
        <v>119</v>
      </c>
      <c r="B2" s="410"/>
      <c r="C2" s="410"/>
      <c r="D2" s="410"/>
      <c r="E2" s="410"/>
      <c r="F2" s="410"/>
      <c r="G2" s="410"/>
      <c r="H2" s="410"/>
      <c r="I2" s="410"/>
      <c r="J2" s="410"/>
      <c r="K2" s="410"/>
      <c r="L2" s="410"/>
      <c r="M2" s="470"/>
      <c r="N2" s="172"/>
    </row>
    <row r="3" spans="1:21" ht="15" customHeight="1" x14ac:dyDescent="0.15">
      <c r="A3" s="258"/>
      <c r="B3" s="410"/>
      <c r="C3" s="410"/>
      <c r="D3" s="410"/>
      <c r="E3" s="410"/>
      <c r="F3" s="410"/>
      <c r="G3" s="410"/>
      <c r="H3" s="410"/>
      <c r="I3" s="410"/>
      <c r="J3" s="410"/>
      <c r="K3" s="410"/>
      <c r="L3" s="410"/>
      <c r="M3" s="470"/>
      <c r="N3" s="172"/>
    </row>
    <row r="4" spans="1:21" ht="15" customHeight="1" x14ac:dyDescent="0.15">
      <c r="A4" s="258"/>
      <c r="B4" s="410"/>
      <c r="C4" s="410"/>
      <c r="D4" s="410"/>
      <c r="E4" s="410"/>
      <c r="F4" s="410"/>
      <c r="G4" s="410"/>
      <c r="H4" s="410"/>
      <c r="I4" s="410"/>
      <c r="J4" s="410"/>
      <c r="K4" s="410"/>
      <c r="L4" s="410"/>
      <c r="M4" s="470"/>
      <c r="N4" s="172"/>
    </row>
    <row r="5" spans="1:21" ht="6" customHeight="1" thickBot="1" x14ac:dyDescent="0.2">
      <c r="A5" s="258"/>
      <c r="B5" s="410"/>
      <c r="C5" s="410"/>
      <c r="D5" s="410"/>
      <c r="E5" s="410"/>
      <c r="F5" s="410"/>
      <c r="G5" s="410"/>
      <c r="H5" s="410"/>
      <c r="I5" s="410"/>
      <c r="J5" s="410"/>
      <c r="K5" s="410"/>
      <c r="L5" s="410"/>
      <c r="M5" s="470"/>
      <c r="N5" s="172"/>
    </row>
    <row r="6" spans="1:21" ht="33.75" customHeight="1" thickBot="1" x14ac:dyDescent="0.2">
      <c r="A6" s="438" t="s">
        <v>63</v>
      </c>
      <c r="B6" s="444" t="s">
        <v>120</v>
      </c>
      <c r="C6" s="401"/>
      <c r="D6" s="401"/>
      <c r="E6" s="400" t="s">
        <v>54</v>
      </c>
      <c r="F6" s="401"/>
      <c r="G6" s="401"/>
      <c r="H6" s="401"/>
      <c r="I6" s="401"/>
      <c r="J6" s="402" t="s">
        <v>65</v>
      </c>
      <c r="K6" s="445"/>
      <c r="L6" s="402" t="s">
        <v>121</v>
      </c>
      <c r="M6" s="402" t="s">
        <v>122</v>
      </c>
      <c r="N6" s="471" t="s">
        <v>123</v>
      </c>
    </row>
    <row r="7" spans="1:21" ht="61.5" customHeight="1" x14ac:dyDescent="0.15">
      <c r="A7" s="439">
        <v>1</v>
      </c>
      <c r="B7" s="251" t="str">
        <f>'تحديد الأهداف'!C6</f>
        <v>xx</v>
      </c>
      <c r="C7" s="401"/>
      <c r="D7" s="401"/>
      <c r="E7" s="187" t="str">
        <f>'تحديد الأهداف'!J6</f>
        <v>xx</v>
      </c>
      <c r="F7" s="401"/>
      <c r="G7" s="401"/>
      <c r="H7" s="401"/>
      <c r="I7" s="401"/>
      <c r="J7" s="51">
        <f>'تحديد الأهداف'!L6</f>
        <v>0.2</v>
      </c>
      <c r="K7" s="446"/>
      <c r="L7" s="106">
        <v>1</v>
      </c>
      <c r="M7" s="447">
        <f t="shared" ref="M7:M13" si="0">J7*L7</f>
        <v>0.2</v>
      </c>
      <c r="N7" s="472"/>
      <c r="O7" s="101"/>
      <c r="P7" s="101"/>
      <c r="Q7" s="101"/>
      <c r="R7" s="101"/>
      <c r="S7" s="101"/>
      <c r="T7" s="101"/>
      <c r="U7" s="102">
        <f>88%*40%</f>
        <v>0.35200000000000004</v>
      </c>
    </row>
    <row r="8" spans="1:21" ht="63.75" customHeight="1" x14ac:dyDescent="0.15">
      <c r="A8" s="440">
        <v>2</v>
      </c>
      <c r="B8" s="251" t="str">
        <f>'تحديد الأهداف'!C7</f>
        <v>xx</v>
      </c>
      <c r="C8" s="401"/>
      <c r="D8" s="401"/>
      <c r="E8" s="187" t="str">
        <f>'تحديد الأهداف'!J7</f>
        <v>xx</v>
      </c>
      <c r="F8" s="401"/>
      <c r="G8" s="401"/>
      <c r="H8" s="401"/>
      <c r="I8" s="401"/>
      <c r="J8" s="51">
        <f>'تحديد الأهداف'!L7</f>
        <v>0.2</v>
      </c>
      <c r="K8" s="28"/>
      <c r="L8" s="106">
        <v>0.9</v>
      </c>
      <c r="M8" s="447">
        <f t="shared" si="0"/>
        <v>0.18000000000000002</v>
      </c>
      <c r="N8" s="473"/>
    </row>
    <row r="9" spans="1:21" ht="66.75" customHeight="1" x14ac:dyDescent="0.15">
      <c r="A9" s="440">
        <v>3</v>
      </c>
      <c r="B9" s="251">
        <f>'تحديد الأهداف'!C8</f>
        <v>0</v>
      </c>
      <c r="C9" s="401"/>
      <c r="D9" s="401"/>
      <c r="E9" s="187">
        <f>'تحديد الأهداف'!J8</f>
        <v>0</v>
      </c>
      <c r="F9" s="401"/>
      <c r="G9" s="401"/>
      <c r="H9" s="401"/>
      <c r="I9" s="401"/>
      <c r="J9" s="51">
        <f>'تحديد الأهداف'!L8</f>
        <v>0.2</v>
      </c>
      <c r="K9" s="28"/>
      <c r="L9" s="106">
        <v>0.8</v>
      </c>
      <c r="M9" s="447">
        <f t="shared" si="0"/>
        <v>0.16000000000000003</v>
      </c>
      <c r="N9" s="473"/>
      <c r="R9" s="24" t="s">
        <v>124</v>
      </c>
    </row>
    <row r="10" spans="1:21" ht="75" customHeight="1" x14ac:dyDescent="0.15">
      <c r="A10" s="439">
        <v>4</v>
      </c>
      <c r="B10" s="251">
        <f>'تحديد الأهداف'!C9</f>
        <v>0</v>
      </c>
      <c r="C10" s="401"/>
      <c r="D10" s="401"/>
      <c r="E10" s="187">
        <f>'تحديد الأهداف'!J9</f>
        <v>0</v>
      </c>
      <c r="F10" s="401"/>
      <c r="G10" s="401"/>
      <c r="H10" s="401"/>
      <c r="I10" s="401"/>
      <c r="J10" s="51">
        <f>'تحديد الأهداف'!L9</f>
        <v>0.2</v>
      </c>
      <c r="K10" s="28"/>
      <c r="L10" s="106">
        <v>0.7</v>
      </c>
      <c r="M10" s="447">
        <f t="shared" si="0"/>
        <v>0.13999999999999999</v>
      </c>
      <c r="N10" s="473"/>
    </row>
    <row r="11" spans="1:21" ht="75" customHeight="1" x14ac:dyDescent="0.15">
      <c r="A11" s="439">
        <v>5</v>
      </c>
      <c r="B11" s="251">
        <f>'تحديد الأهداف'!C10</f>
        <v>0</v>
      </c>
      <c r="C11" s="401"/>
      <c r="D11" s="401"/>
      <c r="E11" s="187">
        <f>'تحديد الأهداف'!J10</f>
        <v>0</v>
      </c>
      <c r="F11" s="401"/>
      <c r="G11" s="401"/>
      <c r="H11" s="401"/>
      <c r="I11" s="401"/>
      <c r="J11" s="51">
        <f>'تحديد الأهداف'!L10</f>
        <v>0.05</v>
      </c>
      <c r="K11" s="28"/>
      <c r="L11" s="106">
        <v>1</v>
      </c>
      <c r="M11" s="447">
        <f t="shared" si="0"/>
        <v>0.05</v>
      </c>
      <c r="N11" s="473"/>
    </row>
    <row r="12" spans="1:21" ht="78" customHeight="1" x14ac:dyDescent="0.15">
      <c r="A12" s="441">
        <v>6</v>
      </c>
      <c r="B12" s="251" t="str">
        <f>'تحديد الأهداف'!C11</f>
        <v>ضمان التنفيذ والمتابعة والتطبيق الفعال لأنظمة وسياسات الصحة والسلامة والبيئة داخل الفرق.</v>
      </c>
      <c r="C12" s="401"/>
      <c r="D12" s="401"/>
      <c r="E12" s="191" t="str">
        <f>'تحديد الأهداف'!J11</f>
        <v>حضور 100% من التدريبات؛ و100% من الاجتماعات؛ و4 ملاحظات سلامة؛ وجولتا سلامة إدارية؛ وإغلاق 100% من إجراءات التدقيق الحرجة و80% من الأخرى؛ وعدم وجود أي إنذارات</v>
      </c>
      <c r="F12" s="192"/>
      <c r="G12" s="192"/>
      <c r="H12" s="192"/>
      <c r="I12" s="192"/>
      <c r="J12" s="51">
        <f>'تحديد الأهداف'!L11</f>
        <v>0.1</v>
      </c>
      <c r="K12" s="28"/>
      <c r="L12" s="106">
        <v>0.9</v>
      </c>
      <c r="M12" s="447">
        <f t="shared" si="0"/>
        <v>9.0000000000000011E-2</v>
      </c>
      <c r="N12" s="473"/>
    </row>
    <row r="13" spans="1:21" ht="45" customHeight="1" x14ac:dyDescent="0.15">
      <c r="A13" s="441">
        <v>7</v>
      </c>
      <c r="B13" s="251" t="str">
        <f>'تحديد الأهداف'!C12</f>
        <v>التدريب والتوعية وتنفيذ أنظمة وسياسات الالتزام التي تم إطلاقها</v>
      </c>
      <c r="C13" s="401"/>
      <c r="D13" s="401"/>
      <c r="E13" s="191" t="str">
        <f>'تحديد الأهداف'!J12</f>
        <v>اجتياز اختبارات التدريب بدرجة ≥ 85%؛ وعدم وجود أي انتهاكات للسياسات</v>
      </c>
      <c r="F13" s="192"/>
      <c r="G13" s="192"/>
      <c r="H13" s="192"/>
      <c r="I13" s="192"/>
      <c r="J13" s="51">
        <f>'تحديد الأهداف'!L12</f>
        <v>0.05</v>
      </c>
      <c r="K13" s="28"/>
      <c r="L13" s="106">
        <v>0.8</v>
      </c>
      <c r="M13" s="447">
        <f t="shared" si="0"/>
        <v>4.0000000000000008E-2</v>
      </c>
      <c r="N13" s="473"/>
    </row>
    <row r="14" spans="1:21" ht="39" hidden="1" customHeight="1" x14ac:dyDescent="0.15">
      <c r="A14" s="105">
        <v>8</v>
      </c>
      <c r="B14" s="442">
        <f>'تحديد الأهداف'!AE13</f>
        <v>0</v>
      </c>
      <c r="C14" s="206"/>
      <c r="D14" s="193"/>
      <c r="E14" s="246" t="e">
        <f>'تحديد الأهداف'!#REF!</f>
        <v>#REF!</v>
      </c>
      <c r="F14" s="206"/>
      <c r="G14" s="206"/>
      <c r="H14" s="206"/>
      <c r="I14" s="193"/>
      <c r="J14" s="435" t="e">
        <f>'تحديد الأهداف'!#REF!</f>
        <v>#REF!</v>
      </c>
      <c r="K14" s="436"/>
      <c r="L14" s="437"/>
      <c r="M14" s="443" t="e">
        <f>L14*J14</f>
        <v>#REF!</v>
      </c>
      <c r="N14" s="58"/>
    </row>
    <row r="15" spans="1:21" ht="18.75" customHeight="1" x14ac:dyDescent="0.15">
      <c r="A15" s="474" t="s">
        <v>125</v>
      </c>
      <c r="B15" s="201"/>
      <c r="C15" s="201"/>
      <c r="D15" s="201"/>
      <c r="E15" s="201"/>
      <c r="F15" s="201"/>
      <c r="G15" s="201"/>
      <c r="H15" s="201"/>
      <c r="I15" s="201"/>
      <c r="J15" s="201"/>
      <c r="K15" s="201"/>
      <c r="L15" s="265"/>
      <c r="M15" s="108">
        <f>ROUNDDOWN(SUM(M7:M13),2)</f>
        <v>0.86</v>
      </c>
      <c r="N15" s="255"/>
      <c r="O15" s="109"/>
    </row>
    <row r="16" spans="1:21" ht="18.75" customHeight="1" x14ac:dyDescent="0.15">
      <c r="A16" s="475"/>
      <c r="B16" s="476"/>
      <c r="C16" s="476"/>
      <c r="D16" s="477" t="s">
        <v>126</v>
      </c>
      <c r="E16" s="382"/>
      <c r="F16" s="382"/>
      <c r="G16" s="382"/>
      <c r="H16" s="382"/>
      <c r="I16" s="382"/>
      <c r="J16" s="382"/>
      <c r="K16" s="382"/>
      <c r="L16" s="382"/>
      <c r="M16" s="110" t="str">
        <f>VLOOKUP(M15,'درجات خطة التعاقب'!I:J,2)</f>
        <v>متوسط</v>
      </c>
      <c r="N16" s="256"/>
    </row>
    <row r="17" spans="1:20" ht="18.75" customHeight="1" thickBot="1" x14ac:dyDescent="0.2">
      <c r="A17" s="478" t="s">
        <v>127</v>
      </c>
      <c r="B17" s="382"/>
      <c r="C17" s="382"/>
      <c r="D17" s="382"/>
      <c r="E17" s="382"/>
      <c r="F17" s="382"/>
      <c r="G17" s="382"/>
      <c r="H17" s="382"/>
      <c r="I17" s="382"/>
      <c r="J17" s="382"/>
      <c r="K17" s="382"/>
      <c r="L17" s="256"/>
      <c r="M17" s="111">
        <f>'تحديد الأهداف'!L15</f>
        <v>0</v>
      </c>
      <c r="N17" s="256"/>
    </row>
    <row r="18" spans="1:20" ht="18.75" customHeight="1" thickBot="1" x14ac:dyDescent="0.2">
      <c r="A18" s="479"/>
      <c r="B18" s="480"/>
      <c r="C18" s="480"/>
      <c r="D18" s="480"/>
      <c r="E18" s="480"/>
      <c r="F18" s="480"/>
      <c r="G18" s="480"/>
      <c r="H18" s="480"/>
      <c r="I18" s="480"/>
      <c r="J18" s="411"/>
      <c r="K18" s="411"/>
      <c r="L18" s="411"/>
      <c r="M18" s="112"/>
      <c r="N18" s="256"/>
    </row>
    <row r="19" spans="1:20" ht="18.75" customHeight="1" x14ac:dyDescent="0.15">
      <c r="A19" s="495" t="s">
        <v>93</v>
      </c>
      <c r="B19" s="223"/>
      <c r="C19" s="224"/>
      <c r="D19" s="60" t="s">
        <v>94</v>
      </c>
      <c r="E19" s="248" t="s">
        <v>95</v>
      </c>
      <c r="F19" s="249"/>
      <c r="G19" s="250"/>
      <c r="H19" s="60" t="s">
        <v>96</v>
      </c>
      <c r="I19" s="60" t="s">
        <v>97</v>
      </c>
      <c r="J19" s="496" t="s">
        <v>98</v>
      </c>
      <c r="K19" s="218"/>
      <c r="L19" s="218"/>
      <c r="M19" s="253"/>
      <c r="N19" s="256"/>
      <c r="O19" s="73"/>
      <c r="P19" s="73"/>
      <c r="Q19" s="73"/>
      <c r="R19" s="73"/>
      <c r="S19" s="73"/>
      <c r="T19" s="73"/>
    </row>
    <row r="20" spans="1:20" ht="18.75" customHeight="1" thickBot="1" x14ac:dyDescent="0.2">
      <c r="A20" s="185"/>
      <c r="B20" s="177"/>
      <c r="C20" s="186"/>
      <c r="D20" s="497">
        <v>1</v>
      </c>
      <c r="E20" s="498">
        <v>2</v>
      </c>
      <c r="F20" s="236"/>
      <c r="G20" s="365"/>
      <c r="H20" s="499">
        <v>3</v>
      </c>
      <c r="I20" s="499">
        <v>4</v>
      </c>
      <c r="J20" s="500">
        <v>5</v>
      </c>
      <c r="K20" s="236"/>
      <c r="L20" s="236"/>
      <c r="M20" s="237"/>
      <c r="N20" s="256"/>
      <c r="O20" s="73"/>
      <c r="P20" s="73"/>
      <c r="Q20" s="73"/>
      <c r="R20" s="73"/>
      <c r="S20" s="73"/>
      <c r="T20" s="73"/>
    </row>
    <row r="21" spans="1:20" ht="22.5" customHeight="1" thickBot="1" x14ac:dyDescent="0.2">
      <c r="A21" s="38"/>
      <c r="B21" s="411"/>
      <c r="C21" s="411"/>
      <c r="D21" s="411"/>
      <c r="E21" s="411"/>
      <c r="F21" s="411"/>
      <c r="G21" s="411"/>
      <c r="H21" s="411"/>
      <c r="I21" s="411"/>
      <c r="J21" s="411"/>
      <c r="K21" s="411"/>
      <c r="L21" s="411"/>
      <c r="M21" s="112"/>
      <c r="N21" s="256"/>
    </row>
    <row r="22" spans="1:20" s="61" customFormat="1" ht="39" customHeight="1" thickBot="1" x14ac:dyDescent="0.2">
      <c r="A22" s="41" t="s">
        <v>63</v>
      </c>
      <c r="B22" s="453" t="s">
        <v>100</v>
      </c>
      <c r="C22" s="196"/>
      <c r="D22" s="196"/>
      <c r="E22" s="196"/>
      <c r="F22" s="196"/>
      <c r="G22" s="216"/>
      <c r="H22" s="262" t="s">
        <v>128</v>
      </c>
      <c r="I22" s="196"/>
      <c r="J22" s="196"/>
      <c r="K22" s="216"/>
      <c r="L22" s="454" t="s">
        <v>129</v>
      </c>
      <c r="M22" s="455" t="s">
        <v>130</v>
      </c>
      <c r="N22" s="113" t="s">
        <v>123</v>
      </c>
    </row>
    <row r="23" spans="1:20" ht="19.5" customHeight="1" thickBot="1" x14ac:dyDescent="0.2">
      <c r="A23" s="481">
        <v>1</v>
      </c>
      <c r="B23" s="448" t="str">
        <f>'تحديد الأهداف'!C20</f>
        <v>Knowledge</v>
      </c>
      <c r="C23" s="259"/>
      <c r="D23" s="449" t="str">
        <f>'تحديد الأهداف'!D20</f>
        <v>Excellence</v>
      </c>
      <c r="E23" s="226"/>
      <c r="F23" s="226"/>
      <c r="G23" s="214"/>
      <c r="H23" s="448" t="str">
        <f>'تحديد الأهداف'!I20</f>
        <v>المعرفة</v>
      </c>
      <c r="I23" s="449" t="str">
        <f>'تحديد الأهداف'!K20</f>
        <v>التميز</v>
      </c>
      <c r="J23" s="214"/>
      <c r="K23" s="450"/>
      <c r="L23" s="451">
        <f>'تحديد الأهداف'!L20</f>
        <v>3</v>
      </c>
      <c r="M23" s="452">
        <v>4</v>
      </c>
      <c r="N23" s="116"/>
    </row>
    <row r="24" spans="1:20" ht="19.5" customHeight="1" thickBot="1" x14ac:dyDescent="0.2">
      <c r="A24" s="239"/>
      <c r="B24" s="247"/>
      <c r="C24" s="214"/>
      <c r="D24" s="254" t="str">
        <f>'تحديد الأهداف'!D21</f>
        <v>Success</v>
      </c>
      <c r="E24" s="181"/>
      <c r="F24" s="181"/>
      <c r="G24" s="188"/>
      <c r="H24" s="261"/>
      <c r="I24" s="254" t="str">
        <f>'تحديد الأهداف'!K21</f>
        <v>النجاح</v>
      </c>
      <c r="J24" s="188"/>
      <c r="K24" s="114"/>
      <c r="L24" s="115">
        <f>'تحديد الأهداف'!L21</f>
        <v>3</v>
      </c>
      <c r="M24" s="339">
        <v>5</v>
      </c>
      <c r="N24" s="104"/>
    </row>
    <row r="25" spans="1:20" ht="19.5" customHeight="1" thickBot="1" x14ac:dyDescent="0.2">
      <c r="A25" s="482">
        <v>2</v>
      </c>
      <c r="B25" s="257" t="str">
        <f>'تحديد الأهداف'!C22</f>
        <v>Attitude</v>
      </c>
      <c r="C25" s="184"/>
      <c r="D25" s="189" t="str">
        <f>'تحديد الأهداف'!D22</f>
        <v>Collaboration and Care</v>
      </c>
      <c r="E25" s="181"/>
      <c r="F25" s="181"/>
      <c r="G25" s="188"/>
      <c r="H25" s="257" t="str">
        <f>'تحديد الأهداف'!I22</f>
        <v>السلوك</v>
      </c>
      <c r="I25" s="189" t="str">
        <f>'تحديد الأهداف'!K22</f>
        <v>التعاون والتراحم</v>
      </c>
      <c r="J25" s="188"/>
      <c r="K25" s="117"/>
      <c r="L25" s="115">
        <f>'تحديد الأهداف'!L22</f>
        <v>3</v>
      </c>
      <c r="M25" s="339">
        <v>5</v>
      </c>
      <c r="N25" s="104"/>
    </row>
    <row r="26" spans="1:20" ht="19.5" customHeight="1" thickBot="1" x14ac:dyDescent="0.2">
      <c r="A26" s="239"/>
      <c r="B26" s="247"/>
      <c r="C26" s="214"/>
      <c r="D26" s="189" t="str">
        <f>'تحديد الأهداف'!D23</f>
        <v>Accountability</v>
      </c>
      <c r="E26" s="181"/>
      <c r="F26" s="181"/>
      <c r="G26" s="188"/>
      <c r="H26" s="261"/>
      <c r="I26" s="189" t="str">
        <f>'تحديد الأهداف'!K23</f>
        <v>تحمل المسؤولية</v>
      </c>
      <c r="J26" s="188"/>
      <c r="K26" s="114"/>
      <c r="L26" s="115">
        <f>'تحديد الأهداف'!L23</f>
        <v>3</v>
      </c>
      <c r="M26" s="339">
        <v>4</v>
      </c>
      <c r="N26" s="104"/>
    </row>
    <row r="27" spans="1:20" ht="19.5" customHeight="1" thickBot="1" x14ac:dyDescent="0.2">
      <c r="A27" s="482">
        <v>3</v>
      </c>
      <c r="B27" s="260" t="str">
        <f>'تحديد الأهداف'!C24</f>
        <v>Feedback</v>
      </c>
      <c r="C27" s="184"/>
      <c r="D27" s="254" t="str">
        <f>'تحديد الأهداف'!D24</f>
        <v>Respect</v>
      </c>
      <c r="E27" s="181"/>
      <c r="F27" s="181"/>
      <c r="G27" s="188"/>
      <c r="H27" s="260" t="str">
        <f>'تحديد الأهداف'!I24</f>
        <v>تقبل النقد</v>
      </c>
      <c r="I27" s="254" t="str">
        <f>'تحديد الأهداف'!K24</f>
        <v>الاحترام</v>
      </c>
      <c r="J27" s="188"/>
      <c r="K27" s="77"/>
      <c r="L27" s="115">
        <f>'تحديد الأهداف'!L24</f>
        <v>3</v>
      </c>
      <c r="M27" s="339">
        <v>3</v>
      </c>
      <c r="N27" s="118"/>
    </row>
    <row r="28" spans="1:20" ht="19.5" customHeight="1" thickBot="1" x14ac:dyDescent="0.2">
      <c r="A28" s="483"/>
      <c r="B28" s="267"/>
      <c r="C28" s="259"/>
      <c r="D28" s="456" t="str">
        <f>'تحديد الأهداف'!D25</f>
        <v>Learner Mindset</v>
      </c>
      <c r="E28" s="228"/>
      <c r="F28" s="228"/>
      <c r="G28" s="184"/>
      <c r="H28" s="274"/>
      <c r="I28" s="456" t="str">
        <f>'تحديد الأهداف'!K25</f>
        <v>عقلية التعلم</v>
      </c>
      <c r="J28" s="184"/>
      <c r="K28" s="457"/>
      <c r="L28" s="458">
        <f>'تحديد الأهداف'!L25</f>
        <v>3</v>
      </c>
      <c r="M28" s="459">
        <v>2</v>
      </c>
      <c r="N28" s="118"/>
    </row>
    <row r="29" spans="1:20" ht="36" customHeight="1" thickBot="1" x14ac:dyDescent="0.2">
      <c r="A29" s="41"/>
      <c r="B29" s="464" t="s">
        <v>289</v>
      </c>
      <c r="C29" s="465"/>
      <c r="D29" s="465"/>
      <c r="E29" s="465"/>
      <c r="F29" s="465"/>
      <c r="G29" s="466"/>
      <c r="H29" s="467" t="s">
        <v>131</v>
      </c>
      <c r="I29" s="468"/>
      <c r="J29" s="468"/>
      <c r="K29" s="469"/>
      <c r="L29" s="454" t="s">
        <v>129</v>
      </c>
      <c r="M29" s="455" t="s">
        <v>130</v>
      </c>
      <c r="N29" s="384" t="s">
        <v>123</v>
      </c>
    </row>
    <row r="30" spans="1:20" s="119" customFormat="1" ht="24.75" customHeight="1" thickBot="1" x14ac:dyDescent="0.2">
      <c r="A30" s="484">
        <v>4</v>
      </c>
      <c r="B30" s="460" t="str">
        <f>'تحديد الأهداف'!C27</f>
        <v>Analysis &amp; Pattern Recognition</v>
      </c>
      <c r="C30" s="461"/>
      <c r="D30" s="461"/>
      <c r="E30" s="461"/>
      <c r="F30" s="461"/>
      <c r="G30" s="462"/>
      <c r="H30" s="460" t="str">
        <f>'تحديد الأهداف'!I27</f>
        <v>التحليل والتعرف على الأنماط</v>
      </c>
      <c r="I30" s="461"/>
      <c r="J30" s="461"/>
      <c r="K30" s="462"/>
      <c r="L30" s="451">
        <f>'تحديد الأهداف'!M27</f>
        <v>3</v>
      </c>
      <c r="M30" s="463">
        <v>5</v>
      </c>
      <c r="N30" s="485"/>
    </row>
    <row r="31" spans="1:20" ht="15.75" customHeight="1" x14ac:dyDescent="0.15">
      <c r="A31" s="486">
        <v>5</v>
      </c>
      <c r="B31" s="362" t="str">
        <f>'تحديد الأهداف'!C28</f>
        <v>Delegation &amp; People Management &amp; Development</v>
      </c>
      <c r="C31" s="363"/>
      <c r="D31" s="363"/>
      <c r="E31" s="363"/>
      <c r="F31" s="363"/>
      <c r="G31" s="364"/>
      <c r="H31" s="362" t="str">
        <f>'تحديد الأهداف'!I28</f>
        <v>تطوير وتفويض وتحفيز العاملين</v>
      </c>
      <c r="I31" s="363"/>
      <c r="J31" s="363"/>
      <c r="K31" s="364"/>
      <c r="L31" s="115">
        <f>'تحديد الأهداف'!M28</f>
        <v>3</v>
      </c>
      <c r="M31" s="339">
        <v>5</v>
      </c>
      <c r="N31" s="473"/>
    </row>
    <row r="32" spans="1:20" ht="18" customHeight="1" x14ac:dyDescent="0.15">
      <c r="A32" s="487">
        <v>6</v>
      </c>
      <c r="B32" s="362" t="str">
        <f>'تحديد الأهداف'!C29</f>
        <v>Leadership</v>
      </c>
      <c r="C32" s="363"/>
      <c r="D32" s="363"/>
      <c r="E32" s="363"/>
      <c r="F32" s="363"/>
      <c r="G32" s="364"/>
      <c r="H32" s="362" t="str">
        <f>'تحديد الأهداف'!I29</f>
        <v>القدرات القيادية</v>
      </c>
      <c r="I32" s="363"/>
      <c r="J32" s="363"/>
      <c r="K32" s="364"/>
      <c r="L32" s="115">
        <f>'تحديد الأهداف'!M29</f>
        <v>3</v>
      </c>
      <c r="M32" s="339">
        <v>5</v>
      </c>
      <c r="N32" s="473"/>
    </row>
    <row r="33" spans="1:14" ht="15.75" customHeight="1" thickBot="1" x14ac:dyDescent="0.2">
      <c r="A33" s="488" t="s">
        <v>132</v>
      </c>
      <c r="B33" s="181"/>
      <c r="C33" s="181"/>
      <c r="D33" s="181"/>
      <c r="E33" s="181"/>
      <c r="F33" s="181"/>
      <c r="G33" s="181"/>
      <c r="H33" s="181"/>
      <c r="I33" s="181"/>
      <c r="J33" s="181"/>
      <c r="K33" s="181"/>
      <c r="L33" s="188"/>
      <c r="M33" s="120">
        <f>AVERAGE(M23:M28,M30:M32)</f>
        <v>4.2222222222222223</v>
      </c>
      <c r="N33" s="489"/>
    </row>
    <row r="34" spans="1:14" ht="15.75" customHeight="1" x14ac:dyDescent="0.2">
      <c r="A34" s="490" t="s">
        <v>133</v>
      </c>
      <c r="B34" s="379"/>
      <c r="C34" s="379"/>
      <c r="D34" s="379"/>
      <c r="E34" s="379"/>
      <c r="F34" s="379"/>
      <c r="G34" s="379"/>
      <c r="H34" s="379"/>
      <c r="I34" s="379"/>
      <c r="J34" s="379"/>
      <c r="K34" s="379"/>
      <c r="L34" s="264"/>
      <c r="M34" s="121">
        <f>M15+(IF(AND(M33&gt;=1,M33&lt;=1.9),"-10%",IF(AND(M33&gt;=2,M33&lt;=2.9),"-5%",IF(AND(M33&gt;=3,M33&lt;=3.9),"0%",IF(AND(M33&gt;=4,M33&lt;=4.9),"5%",IF(AND(M33&gt;=5,M33&lt;=5.9),"10%"))))))</f>
        <v>0.91</v>
      </c>
      <c r="N34" s="491"/>
    </row>
    <row r="35" spans="1:14" ht="15.75" customHeight="1" x14ac:dyDescent="0.2">
      <c r="A35" s="492"/>
      <c r="B35" s="493"/>
      <c r="C35" s="122"/>
      <c r="D35" s="379" t="s">
        <v>134</v>
      </c>
      <c r="E35" s="379"/>
      <c r="F35" s="379"/>
      <c r="G35" s="379"/>
      <c r="H35" s="379"/>
      <c r="I35" s="379"/>
      <c r="J35" s="379"/>
      <c r="K35" s="379"/>
      <c r="L35" s="264"/>
      <c r="M35" s="123" t="str">
        <f>VLOOKUP(M33,'درجات خطة التعاقب'!L:M,2)</f>
        <v>مرتفع</v>
      </c>
      <c r="N35" s="494"/>
    </row>
    <row r="36" spans="1:14" ht="15.75" customHeight="1" thickBot="1" x14ac:dyDescent="0.25">
      <c r="A36" s="492"/>
      <c r="B36" s="493"/>
      <c r="C36" s="263" t="s">
        <v>135</v>
      </c>
      <c r="D36" s="263"/>
      <c r="E36" s="263"/>
      <c r="F36" s="263"/>
      <c r="G36" s="263"/>
      <c r="H36" s="263"/>
      <c r="I36" s="263"/>
      <c r="J36" s="263"/>
      <c r="K36" s="263"/>
      <c r="L36" s="380"/>
      <c r="M36" s="501" t="str">
        <f>VLOOKUP(M35,'درجات خطة التعاقب'!R:S,2,0)</f>
        <v>إمكانات عالية</v>
      </c>
      <c r="N36" s="502"/>
    </row>
    <row r="37" spans="1:14" ht="22.5" customHeight="1" thickBot="1" x14ac:dyDescent="0.2">
      <c r="A37" s="503" t="s">
        <v>136</v>
      </c>
      <c r="B37" s="196"/>
      <c r="C37" s="196"/>
      <c r="D37" s="196"/>
      <c r="E37" s="196"/>
      <c r="F37" s="196"/>
      <c r="G37" s="196"/>
      <c r="H37" s="196"/>
      <c r="I37" s="196"/>
      <c r="J37" s="196"/>
      <c r="K37" s="196"/>
      <c r="L37" s="196"/>
      <c r="M37" s="196"/>
      <c r="N37" s="197"/>
    </row>
    <row r="38" spans="1:14" ht="23.25" customHeight="1" x14ac:dyDescent="0.15">
      <c r="A38" s="234" t="s">
        <v>115</v>
      </c>
      <c r="B38" s="218"/>
      <c r="C38" s="218"/>
      <c r="D38" s="218"/>
      <c r="E38" s="218"/>
      <c r="F38" s="218"/>
      <c r="G38" s="218"/>
      <c r="H38" s="218"/>
      <c r="I38" s="219"/>
      <c r="J38" s="252" t="s">
        <v>18</v>
      </c>
      <c r="K38" s="218"/>
      <c r="L38" s="218"/>
      <c r="M38" s="218"/>
      <c r="N38" s="253"/>
    </row>
    <row r="39" spans="1:14" ht="23.25" customHeight="1" x14ac:dyDescent="0.15">
      <c r="A39" s="200"/>
      <c r="B39" s="201"/>
      <c r="C39" s="201"/>
      <c r="D39" s="201"/>
      <c r="E39" s="201"/>
      <c r="F39" s="201"/>
      <c r="G39" s="201"/>
      <c r="H39" s="201"/>
      <c r="I39" s="202"/>
      <c r="J39" s="381"/>
      <c r="K39" s="381"/>
      <c r="L39" s="381"/>
      <c r="M39" s="381"/>
      <c r="N39" s="124"/>
    </row>
    <row r="40" spans="1:14" ht="23.25" customHeight="1" x14ac:dyDescent="0.15">
      <c r="A40" s="203"/>
      <c r="B40" s="382"/>
      <c r="C40" s="382"/>
      <c r="D40" s="382"/>
      <c r="E40" s="382"/>
      <c r="F40" s="382"/>
      <c r="G40" s="382"/>
      <c r="H40" s="382"/>
      <c r="I40" s="204"/>
      <c r="J40" s="381"/>
      <c r="K40" s="381"/>
      <c r="L40" s="381"/>
      <c r="M40" s="381"/>
      <c r="N40" s="124"/>
    </row>
    <row r="41" spans="1:14" ht="15" customHeight="1" x14ac:dyDescent="0.15">
      <c r="A41" s="203"/>
      <c r="B41" s="382"/>
      <c r="C41" s="382"/>
      <c r="D41" s="382"/>
      <c r="E41" s="382"/>
      <c r="F41" s="382"/>
      <c r="G41" s="382"/>
      <c r="H41" s="382"/>
      <c r="I41" s="204"/>
      <c r="J41" s="381"/>
      <c r="K41" s="381"/>
      <c r="L41" s="381"/>
      <c r="M41" s="381"/>
      <c r="N41" s="124"/>
    </row>
    <row r="42" spans="1:14" ht="26.25" customHeight="1" thickBot="1" x14ac:dyDescent="0.2">
      <c r="A42" s="383"/>
      <c r="B42" s="179"/>
      <c r="C42" s="179"/>
      <c r="D42" s="179"/>
      <c r="E42" s="179"/>
      <c r="F42" s="179"/>
      <c r="G42" s="179"/>
      <c r="H42" s="179"/>
      <c r="I42" s="180"/>
      <c r="J42" s="125"/>
      <c r="K42" s="125"/>
      <c r="L42" s="125"/>
      <c r="M42" s="125"/>
      <c r="N42" s="126"/>
    </row>
    <row r="43" spans="1:14" ht="25.5" customHeight="1" x14ac:dyDescent="0.15">
      <c r="A43" s="127"/>
      <c r="H43" s="128"/>
      <c r="I43" s="43"/>
    </row>
    <row r="44" spans="1:14" ht="25.5" customHeight="1" x14ac:dyDescent="0.25">
      <c r="A44" s="129"/>
      <c r="H44" s="16"/>
      <c r="I44" s="61"/>
      <c r="N44" s="130"/>
    </row>
    <row r="45" spans="1:14" ht="15" customHeight="1" x14ac:dyDescent="0.15">
      <c r="A45" s="129"/>
      <c r="H45" s="16"/>
      <c r="I45" s="61"/>
    </row>
    <row r="46" spans="1:14" ht="17.25" customHeight="1" x14ac:dyDescent="0.15">
      <c r="A46" s="131"/>
      <c r="H46" s="131"/>
      <c r="I46" s="132"/>
    </row>
    <row r="47" spans="1:14" ht="15" customHeight="1" x14ac:dyDescent="0.15">
      <c r="A47" s="131"/>
      <c r="H47" s="131"/>
      <c r="I47" s="61"/>
    </row>
  </sheetData>
  <mergeCells count="69">
    <mergeCell ref="C36:L36"/>
    <mergeCell ref="E7:I7"/>
    <mergeCell ref="B22:G22"/>
    <mergeCell ref="B31:G31"/>
    <mergeCell ref="J20:M20"/>
    <mergeCell ref="B23:C24"/>
    <mergeCell ref="H23:H24"/>
    <mergeCell ref="B12:D12"/>
    <mergeCell ref="H25:H26"/>
    <mergeCell ref="D35:L35"/>
    <mergeCell ref="B27:C28"/>
    <mergeCell ref="A34:L34"/>
    <mergeCell ref="D28:G28"/>
    <mergeCell ref="A15:L15"/>
    <mergeCell ref="H32:K32"/>
    <mergeCell ref="D25:G25"/>
    <mergeCell ref="B6:D6"/>
    <mergeCell ref="J19:M19"/>
    <mergeCell ref="E9:I9"/>
    <mergeCell ref="A38:I38"/>
    <mergeCell ref="H27:H28"/>
    <mergeCell ref="E6:I6"/>
    <mergeCell ref="H31:K31"/>
    <mergeCell ref="I24:J24"/>
    <mergeCell ref="B25:C26"/>
    <mergeCell ref="B32:G32"/>
    <mergeCell ref="E11:I11"/>
    <mergeCell ref="A23:A24"/>
    <mergeCell ref="I23:J23"/>
    <mergeCell ref="E20:G20"/>
    <mergeCell ref="D27:G27"/>
    <mergeCell ref="B7:D7"/>
    <mergeCell ref="A1:N1"/>
    <mergeCell ref="B10:D10"/>
    <mergeCell ref="D23:G23"/>
    <mergeCell ref="A39:I42"/>
    <mergeCell ref="A27:A28"/>
    <mergeCell ref="D26:G26"/>
    <mergeCell ref="H30:K30"/>
    <mergeCell ref="A33:L33"/>
    <mergeCell ref="A25:A26"/>
    <mergeCell ref="I25:J25"/>
    <mergeCell ref="E10:I10"/>
    <mergeCell ref="A2:N5"/>
    <mergeCell ref="B9:D9"/>
    <mergeCell ref="E13:I13"/>
    <mergeCell ref="A17:L17"/>
    <mergeCell ref="H29:K29"/>
    <mergeCell ref="B8:D8"/>
    <mergeCell ref="J38:N38"/>
    <mergeCell ref="D24:G24"/>
    <mergeCell ref="B13:D13"/>
    <mergeCell ref="I27:J27"/>
    <mergeCell ref="E8:I8"/>
    <mergeCell ref="E14:I14"/>
    <mergeCell ref="I26:J26"/>
    <mergeCell ref="B29:G29"/>
    <mergeCell ref="D16:L16"/>
    <mergeCell ref="N33:N34"/>
    <mergeCell ref="I28:J28"/>
    <mergeCell ref="N15:N21"/>
    <mergeCell ref="B30:G30"/>
    <mergeCell ref="A37:N37"/>
    <mergeCell ref="B11:D11"/>
    <mergeCell ref="H22:K22"/>
    <mergeCell ref="B14:D14"/>
    <mergeCell ref="E12:I12"/>
    <mergeCell ref="A19:C20"/>
    <mergeCell ref="E19:G19"/>
  </mergeCells>
  <conditionalFormatting sqref="A44:A45">
    <cfRule type="cellIs" dxfId="6" priority="8" operator="equal">
      <formula>"Not Required"</formula>
    </cfRule>
  </conditionalFormatting>
  <conditionalFormatting sqref="B7:E14">
    <cfRule type="cellIs" dxfId="5" priority="7" operator="equal">
      <formula>0</formula>
    </cfRule>
  </conditionalFormatting>
  <conditionalFormatting sqref="D6:L18 D19:E19 H19:L19 D20:L22 H23:I23 K23:L23 D23:D28 I24:I28 L24:L28">
    <cfRule type="cellIs" dxfId="4" priority="4" operator="equal">
      <formula>$M$36</formula>
    </cfRule>
  </conditionalFormatting>
  <conditionalFormatting sqref="K24:K25 H25">
    <cfRule type="cellIs" dxfId="3" priority="2" operator="equal">
      <formula>$M$36</formula>
    </cfRule>
  </conditionalFormatting>
  <conditionalFormatting sqref="S6:AA24">
    <cfRule type="cellIs" dxfId="2" priority="6" operator="equal">
      <formula>$M$36</formula>
    </cfRule>
  </conditionalFormatting>
  <printOptions horizontalCentered="1" verticalCentered="1"/>
  <pageMargins left="0" right="0.25" top="0.55972222222222201" bottom="0.59027777777777801" header="0.511811023622047" footer="0.511811023622047"/>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66CC"/>
  </sheetPr>
  <dimension ref="A1:S51"/>
  <sheetViews>
    <sheetView zoomScale="125" zoomScaleNormal="125" workbookViewId="0">
      <selection activeCell="P13" sqref="P13"/>
    </sheetView>
  </sheetViews>
  <sheetFormatPr baseColWidth="10" defaultColWidth="8.83203125" defaultRowHeight="13" x14ac:dyDescent="0.15"/>
  <cols>
    <col min="3" max="3" width="8.33203125" customWidth="1"/>
    <col min="4" max="5" width="11.1640625" customWidth="1"/>
    <col min="6" max="6" width="16.1640625" customWidth="1"/>
    <col min="10" max="10" width="8.6640625" style="133" customWidth="1"/>
    <col min="19" max="19" width="16" customWidth="1"/>
  </cols>
  <sheetData>
    <row r="1" spans="1:19" ht="12.75" customHeight="1" x14ac:dyDescent="0.15">
      <c r="D1" s="134" t="s">
        <v>137</v>
      </c>
      <c r="E1" s="134" t="s">
        <v>138</v>
      </c>
      <c r="F1" s="134" t="s">
        <v>139</v>
      </c>
      <c r="I1" s="135" t="s">
        <v>121</v>
      </c>
      <c r="J1" s="136" t="s">
        <v>140</v>
      </c>
      <c r="L1" s="137" t="s">
        <v>121</v>
      </c>
      <c r="M1" s="137" t="s">
        <v>140</v>
      </c>
      <c r="Q1" t="str">
        <f t="array" ref="Q1:S3">_xlfn._xlws.FILTER(D1:F60,D1:D60='مراجعة الأداء'!M16,0)</f>
        <v>متوسط</v>
      </c>
      <c r="R1" t="str">
        <v>مرتفع</v>
      </c>
      <c r="S1" t="str">
        <v>إمكانات عالية</v>
      </c>
    </row>
    <row r="2" spans="1:19" ht="12.75" customHeight="1" x14ac:dyDescent="0.15">
      <c r="D2" t="s">
        <v>141</v>
      </c>
      <c r="E2" t="s">
        <v>141</v>
      </c>
      <c r="F2" s="138" t="s">
        <v>142</v>
      </c>
      <c r="I2" s="139">
        <v>0.6</v>
      </c>
      <c r="J2" s="133" t="s">
        <v>143</v>
      </c>
      <c r="L2">
        <v>2</v>
      </c>
      <c r="M2" t="s">
        <v>143</v>
      </c>
      <c r="Q2" t="str">
        <v>متوسط</v>
      </c>
      <c r="R2" t="str">
        <v>متوسط</v>
      </c>
      <c r="S2" t="str">
        <v>ركيزة أساسية</v>
      </c>
    </row>
    <row r="3" spans="1:19" ht="12.75" customHeight="1" x14ac:dyDescent="0.15">
      <c r="D3" t="s">
        <v>144</v>
      </c>
      <c r="E3" t="s">
        <v>141</v>
      </c>
      <c r="F3" s="138" t="s">
        <v>145</v>
      </c>
      <c r="I3" s="139">
        <v>0.61</v>
      </c>
      <c r="J3" s="133" t="s">
        <v>143</v>
      </c>
      <c r="L3">
        <v>2.1</v>
      </c>
      <c r="M3" t="s">
        <v>143</v>
      </c>
      <c r="Q3" t="str">
        <v>متوسط</v>
      </c>
      <c r="R3" t="str">
        <v>منخفض</v>
      </c>
      <c r="S3" t="str">
        <v>أداء متوسط</v>
      </c>
    </row>
    <row r="4" spans="1:19" ht="12.75" customHeight="1" x14ac:dyDescent="0.15">
      <c r="A4" s="140"/>
      <c r="B4" s="140"/>
      <c r="D4" t="s">
        <v>143</v>
      </c>
      <c r="E4" t="s">
        <v>141</v>
      </c>
      <c r="F4" s="141" t="s">
        <v>146</v>
      </c>
      <c r="I4" s="139">
        <v>0.62</v>
      </c>
      <c r="J4" s="133" t="s">
        <v>143</v>
      </c>
      <c r="L4">
        <v>2.2000000000000002</v>
      </c>
      <c r="M4" t="s">
        <v>143</v>
      </c>
      <c r="N4" s="140"/>
    </row>
    <row r="5" spans="1:19" ht="12.75" customHeight="1" x14ac:dyDescent="0.15">
      <c r="D5" t="s">
        <v>141</v>
      </c>
      <c r="E5" t="s">
        <v>144</v>
      </c>
      <c r="F5" s="138" t="s">
        <v>147</v>
      </c>
      <c r="I5" s="139">
        <v>0.63</v>
      </c>
      <c r="J5" s="133" t="s">
        <v>143</v>
      </c>
      <c r="L5">
        <v>2.2999999999999998</v>
      </c>
      <c r="M5" t="s">
        <v>143</v>
      </c>
    </row>
    <row r="6" spans="1:19" ht="12.75" customHeight="1" x14ac:dyDescent="0.15">
      <c r="D6" t="s">
        <v>144</v>
      </c>
      <c r="E6" t="s">
        <v>144</v>
      </c>
      <c r="F6" s="138" t="s">
        <v>148</v>
      </c>
      <c r="I6" s="139">
        <v>0.64</v>
      </c>
      <c r="J6" s="133" t="s">
        <v>143</v>
      </c>
      <c r="L6">
        <v>2.4</v>
      </c>
      <c r="M6" t="s">
        <v>143</v>
      </c>
    </row>
    <row r="7" spans="1:19" ht="12.75" customHeight="1" x14ac:dyDescent="0.15">
      <c r="A7" s="133"/>
      <c r="D7" t="s">
        <v>143</v>
      </c>
      <c r="E7" t="s">
        <v>144</v>
      </c>
      <c r="F7" s="141" t="s">
        <v>149</v>
      </c>
      <c r="I7" s="139">
        <v>0.65</v>
      </c>
      <c r="J7" s="133" t="s">
        <v>143</v>
      </c>
      <c r="L7">
        <v>2.5</v>
      </c>
      <c r="M7" t="s">
        <v>143</v>
      </c>
      <c r="N7" s="133"/>
    </row>
    <row r="8" spans="1:19" ht="12.75" customHeight="1" x14ac:dyDescent="0.15">
      <c r="D8" t="s">
        <v>141</v>
      </c>
      <c r="E8" t="s">
        <v>143</v>
      </c>
      <c r="F8" s="138" t="s">
        <v>150</v>
      </c>
      <c r="I8" s="139">
        <v>0.66</v>
      </c>
      <c r="J8" s="133" t="s">
        <v>143</v>
      </c>
      <c r="L8">
        <v>2.6</v>
      </c>
      <c r="M8" t="s">
        <v>143</v>
      </c>
    </row>
    <row r="9" spans="1:19" ht="12.75" customHeight="1" x14ac:dyDescent="0.15">
      <c r="D9" t="s">
        <v>144</v>
      </c>
      <c r="E9" t="s">
        <v>143</v>
      </c>
      <c r="F9" s="138" t="s">
        <v>151</v>
      </c>
      <c r="I9" s="139">
        <v>0.67</v>
      </c>
      <c r="J9" s="133" t="s">
        <v>143</v>
      </c>
      <c r="L9">
        <v>2.7</v>
      </c>
      <c r="M9" t="s">
        <v>143</v>
      </c>
    </row>
    <row r="10" spans="1:19" ht="12.75" customHeight="1" x14ac:dyDescent="0.15">
      <c r="D10" t="s">
        <v>143</v>
      </c>
      <c r="E10" t="s">
        <v>143</v>
      </c>
      <c r="F10" s="141" t="s">
        <v>152</v>
      </c>
      <c r="I10" s="139">
        <v>0.68</v>
      </c>
      <c r="J10" s="133" t="s">
        <v>143</v>
      </c>
      <c r="L10">
        <v>2.8</v>
      </c>
      <c r="M10" t="s">
        <v>143</v>
      </c>
    </row>
    <row r="11" spans="1:19" ht="12.75" customHeight="1" x14ac:dyDescent="0.15">
      <c r="I11" s="139">
        <v>0.69</v>
      </c>
      <c r="J11" s="133" t="s">
        <v>143</v>
      </c>
      <c r="L11">
        <v>2.9</v>
      </c>
      <c r="M11" t="s">
        <v>143</v>
      </c>
    </row>
    <row r="12" spans="1:19" ht="12.75" customHeight="1" x14ac:dyDescent="0.15">
      <c r="I12" s="139">
        <v>0.7</v>
      </c>
      <c r="J12" s="133" t="s">
        <v>143</v>
      </c>
      <c r="L12">
        <v>3</v>
      </c>
      <c r="M12" t="s">
        <v>144</v>
      </c>
    </row>
    <row r="13" spans="1:19" ht="12.75" customHeight="1" x14ac:dyDescent="0.15">
      <c r="I13" s="139">
        <v>0.71</v>
      </c>
      <c r="J13" s="133" t="s">
        <v>143</v>
      </c>
      <c r="L13">
        <v>3.1</v>
      </c>
      <c r="M13" t="s">
        <v>144</v>
      </c>
    </row>
    <row r="14" spans="1:19" ht="12.75" customHeight="1" x14ac:dyDescent="0.15">
      <c r="I14" s="139">
        <v>0.72</v>
      </c>
      <c r="J14" s="133" t="s">
        <v>143</v>
      </c>
      <c r="L14">
        <v>3.2</v>
      </c>
      <c r="M14" t="s">
        <v>144</v>
      </c>
    </row>
    <row r="15" spans="1:19" ht="12.75" customHeight="1" x14ac:dyDescent="0.15">
      <c r="I15" s="139">
        <v>0.73</v>
      </c>
      <c r="J15" s="133" t="s">
        <v>143</v>
      </c>
      <c r="L15">
        <v>3.3</v>
      </c>
      <c r="M15" t="s">
        <v>144</v>
      </c>
    </row>
    <row r="16" spans="1:19" ht="12.75" customHeight="1" x14ac:dyDescent="0.15">
      <c r="I16" s="139">
        <v>0.74</v>
      </c>
      <c r="J16" s="133" t="s">
        <v>143</v>
      </c>
      <c r="L16">
        <v>3.4</v>
      </c>
      <c r="M16" t="s">
        <v>144</v>
      </c>
    </row>
    <row r="17" spans="9:13" ht="12.75" customHeight="1" x14ac:dyDescent="0.15">
      <c r="I17" s="139">
        <v>0.75</v>
      </c>
      <c r="J17" s="133" t="s">
        <v>143</v>
      </c>
      <c r="L17">
        <v>3.5</v>
      </c>
      <c r="M17" t="s">
        <v>144</v>
      </c>
    </row>
    <row r="18" spans="9:13" ht="12.75" customHeight="1" x14ac:dyDescent="0.15">
      <c r="I18" s="139">
        <v>0.76</v>
      </c>
      <c r="J18" s="133" t="s">
        <v>143</v>
      </c>
      <c r="L18">
        <v>3.6</v>
      </c>
      <c r="M18" t="s">
        <v>144</v>
      </c>
    </row>
    <row r="19" spans="9:13" ht="12.75" customHeight="1" x14ac:dyDescent="0.15">
      <c r="I19" s="139">
        <v>0.77</v>
      </c>
      <c r="J19" s="133" t="s">
        <v>143</v>
      </c>
      <c r="L19">
        <v>3.7</v>
      </c>
      <c r="M19" t="s">
        <v>144</v>
      </c>
    </row>
    <row r="20" spans="9:13" ht="12.75" customHeight="1" x14ac:dyDescent="0.15">
      <c r="I20" s="139">
        <v>0.78</v>
      </c>
      <c r="J20" s="133" t="s">
        <v>143</v>
      </c>
      <c r="L20">
        <v>3.8</v>
      </c>
      <c r="M20" t="s">
        <v>144</v>
      </c>
    </row>
    <row r="21" spans="9:13" ht="12.75" customHeight="1" x14ac:dyDescent="0.15">
      <c r="I21" s="139">
        <v>0.79</v>
      </c>
      <c r="J21" s="133" t="s">
        <v>143</v>
      </c>
      <c r="L21">
        <v>3.9</v>
      </c>
      <c r="M21" t="s">
        <v>144</v>
      </c>
    </row>
    <row r="22" spans="9:13" ht="12.75" customHeight="1" x14ac:dyDescent="0.15">
      <c r="I22" s="139">
        <v>0.8</v>
      </c>
      <c r="J22" s="133" t="s">
        <v>144</v>
      </c>
      <c r="L22">
        <v>4</v>
      </c>
      <c r="M22" t="s">
        <v>141</v>
      </c>
    </row>
    <row r="23" spans="9:13" ht="12.75" customHeight="1" x14ac:dyDescent="0.15">
      <c r="I23" s="139">
        <v>0.81</v>
      </c>
      <c r="J23" s="133" t="s">
        <v>144</v>
      </c>
      <c r="L23">
        <v>4.0999999999999996</v>
      </c>
      <c r="M23" t="s">
        <v>141</v>
      </c>
    </row>
    <row r="24" spans="9:13" ht="12.75" customHeight="1" x14ac:dyDescent="0.15">
      <c r="I24" s="139">
        <v>0.82</v>
      </c>
      <c r="J24" s="133" t="s">
        <v>144</v>
      </c>
      <c r="L24">
        <v>4.2</v>
      </c>
      <c r="M24" t="s">
        <v>141</v>
      </c>
    </row>
    <row r="25" spans="9:13" ht="12.75" customHeight="1" x14ac:dyDescent="0.15">
      <c r="I25" s="139">
        <v>0.83</v>
      </c>
      <c r="J25" s="133" t="s">
        <v>144</v>
      </c>
      <c r="L25">
        <v>4.3</v>
      </c>
      <c r="M25" t="s">
        <v>141</v>
      </c>
    </row>
    <row r="26" spans="9:13" ht="12.75" customHeight="1" x14ac:dyDescent="0.15">
      <c r="I26" s="139">
        <v>0.84</v>
      </c>
      <c r="J26" s="133" t="s">
        <v>144</v>
      </c>
      <c r="L26">
        <v>4.4000000000000004</v>
      </c>
      <c r="M26" t="s">
        <v>141</v>
      </c>
    </row>
    <row r="27" spans="9:13" ht="12.75" customHeight="1" x14ac:dyDescent="0.15">
      <c r="I27" s="139">
        <v>0.85</v>
      </c>
      <c r="J27" s="133" t="s">
        <v>144</v>
      </c>
      <c r="L27">
        <v>4.5</v>
      </c>
      <c r="M27" t="s">
        <v>141</v>
      </c>
    </row>
    <row r="28" spans="9:13" ht="12.75" customHeight="1" x14ac:dyDescent="0.15">
      <c r="I28" s="139">
        <v>0.86</v>
      </c>
      <c r="J28" s="133" t="s">
        <v>144</v>
      </c>
      <c r="L28">
        <v>4.5999999999999996</v>
      </c>
      <c r="M28" t="s">
        <v>141</v>
      </c>
    </row>
    <row r="29" spans="9:13" ht="12.75" customHeight="1" x14ac:dyDescent="0.15">
      <c r="I29" s="139">
        <v>0.87</v>
      </c>
      <c r="J29" s="133" t="s">
        <v>144</v>
      </c>
      <c r="L29">
        <v>4.7</v>
      </c>
      <c r="M29" t="s">
        <v>141</v>
      </c>
    </row>
    <row r="30" spans="9:13" ht="12.75" customHeight="1" x14ac:dyDescent="0.15">
      <c r="I30" s="139">
        <v>0.88</v>
      </c>
      <c r="J30" s="133" t="s">
        <v>144</v>
      </c>
      <c r="L30">
        <v>4.8</v>
      </c>
      <c r="M30" t="s">
        <v>141</v>
      </c>
    </row>
    <row r="31" spans="9:13" ht="12.75" customHeight="1" x14ac:dyDescent="0.15">
      <c r="I31" s="139">
        <v>0.89</v>
      </c>
      <c r="J31" s="133" t="s">
        <v>144</v>
      </c>
      <c r="L31">
        <v>4.9000000000000004</v>
      </c>
      <c r="M31" t="s">
        <v>141</v>
      </c>
    </row>
    <row r="32" spans="9:13" ht="12.75" customHeight="1" x14ac:dyDescent="0.15">
      <c r="I32" s="139">
        <v>0.9</v>
      </c>
      <c r="J32" s="142" t="s">
        <v>141</v>
      </c>
      <c r="L32">
        <v>5</v>
      </c>
      <c r="M32" t="s">
        <v>141</v>
      </c>
    </row>
    <row r="33" spans="9:10" ht="12.75" customHeight="1" x14ac:dyDescent="0.15">
      <c r="I33" s="139">
        <v>0.91</v>
      </c>
      <c r="J33" s="142" t="s">
        <v>141</v>
      </c>
    </row>
    <row r="34" spans="9:10" ht="12.75" customHeight="1" x14ac:dyDescent="0.15">
      <c r="I34" s="139">
        <v>0.92</v>
      </c>
      <c r="J34" s="142" t="s">
        <v>141</v>
      </c>
    </row>
    <row r="35" spans="9:10" ht="12.75" customHeight="1" x14ac:dyDescent="0.15">
      <c r="I35" s="139">
        <v>0.93</v>
      </c>
      <c r="J35" s="142" t="s">
        <v>141</v>
      </c>
    </row>
    <row r="36" spans="9:10" ht="12.75" customHeight="1" x14ac:dyDescent="0.15">
      <c r="I36" s="139">
        <v>0.94</v>
      </c>
      <c r="J36" s="142" t="s">
        <v>141</v>
      </c>
    </row>
    <row r="37" spans="9:10" ht="12.75" customHeight="1" x14ac:dyDescent="0.15">
      <c r="I37" s="139">
        <v>0.95</v>
      </c>
      <c r="J37" s="142" t="s">
        <v>141</v>
      </c>
    </row>
    <row r="38" spans="9:10" ht="12.75" customHeight="1" x14ac:dyDescent="0.15">
      <c r="I38" s="139">
        <v>0.96</v>
      </c>
      <c r="J38" s="142" t="s">
        <v>141</v>
      </c>
    </row>
    <row r="39" spans="9:10" ht="12.75" customHeight="1" x14ac:dyDescent="0.15">
      <c r="I39" s="139">
        <v>0.97</v>
      </c>
      <c r="J39" s="142" t="s">
        <v>141</v>
      </c>
    </row>
    <row r="40" spans="9:10" ht="12.75" customHeight="1" x14ac:dyDescent="0.15">
      <c r="I40" s="139">
        <v>0.98</v>
      </c>
      <c r="J40" s="142" t="s">
        <v>141</v>
      </c>
    </row>
    <row r="41" spans="9:10" ht="12.75" customHeight="1" x14ac:dyDescent="0.15">
      <c r="I41" s="139">
        <v>0.99</v>
      </c>
      <c r="J41" s="142" t="s">
        <v>141</v>
      </c>
    </row>
    <row r="42" spans="9:10" ht="12.75" customHeight="1" x14ac:dyDescent="0.15">
      <c r="I42" s="139">
        <v>1</v>
      </c>
      <c r="J42" s="142" t="s">
        <v>141</v>
      </c>
    </row>
    <row r="43" spans="9:10" ht="12.75" customHeight="1" x14ac:dyDescent="0.15">
      <c r="I43" s="139">
        <v>1.01</v>
      </c>
      <c r="J43" s="142" t="s">
        <v>141</v>
      </c>
    </row>
    <row r="44" spans="9:10" ht="12.75" customHeight="1" x14ac:dyDescent="0.15">
      <c r="I44" s="139">
        <v>1.02</v>
      </c>
      <c r="J44" s="142" t="s">
        <v>141</v>
      </c>
    </row>
    <row r="45" spans="9:10" ht="12.75" customHeight="1" x14ac:dyDescent="0.15">
      <c r="I45" s="139">
        <v>1.03</v>
      </c>
      <c r="J45" s="142" t="s">
        <v>141</v>
      </c>
    </row>
    <row r="46" spans="9:10" ht="12.75" customHeight="1" x14ac:dyDescent="0.15">
      <c r="I46" s="139">
        <v>1.04</v>
      </c>
      <c r="J46" s="142" t="s">
        <v>141</v>
      </c>
    </row>
    <row r="47" spans="9:10" ht="12.75" customHeight="1" x14ac:dyDescent="0.15">
      <c r="I47" s="139">
        <v>1.05</v>
      </c>
      <c r="J47" s="142" t="s">
        <v>141</v>
      </c>
    </row>
    <row r="48" spans="9:10" ht="12.75" customHeight="1" x14ac:dyDescent="0.15">
      <c r="I48" s="139">
        <v>1.06</v>
      </c>
      <c r="J48" s="142" t="s">
        <v>141</v>
      </c>
    </row>
    <row r="49" spans="9:10" ht="12.75" customHeight="1" x14ac:dyDescent="0.15">
      <c r="I49" s="139">
        <v>1.07</v>
      </c>
      <c r="J49" s="142" t="s">
        <v>141</v>
      </c>
    </row>
    <row r="50" spans="9:10" ht="12.75" customHeight="1" x14ac:dyDescent="0.15">
      <c r="I50" s="139">
        <v>1.08</v>
      </c>
      <c r="J50" s="142" t="s">
        <v>141</v>
      </c>
    </row>
    <row r="51" spans="9:10" ht="12.75" customHeight="1" x14ac:dyDescent="0.15">
      <c r="I51" s="139">
        <v>1.0900000000000001</v>
      </c>
      <c r="J51" s="142" t="s">
        <v>141</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66CC"/>
  </sheetPr>
  <dimension ref="A1:BD76"/>
  <sheetViews>
    <sheetView zoomScale="94" zoomScaleNormal="100" workbookViewId="0">
      <selection activeCell="R35" sqref="R35"/>
    </sheetView>
  </sheetViews>
  <sheetFormatPr baseColWidth="10" defaultColWidth="8.83203125" defaultRowHeight="13" x14ac:dyDescent="0.15"/>
  <cols>
    <col min="1" max="3" width="4.5" customWidth="1"/>
    <col min="16" max="18" width="4.5" customWidth="1"/>
    <col min="31" max="31" width="16.1640625" customWidth="1"/>
    <col min="35" max="35" width="8.1640625" customWidth="1"/>
    <col min="36" max="36" width="13.83203125" customWidth="1"/>
    <col min="40" max="41" width="13.83203125" customWidth="1"/>
    <col min="46" max="46" width="13.83203125" customWidth="1"/>
    <col min="56" max="56" width="13.83203125" customWidth="1"/>
  </cols>
  <sheetData>
    <row r="1" spans="1:56" ht="12.75" customHeight="1" x14ac:dyDescent="0.15">
      <c r="A1" s="504" t="s">
        <v>153</v>
      </c>
      <c r="B1" s="504"/>
      <c r="C1" s="504"/>
      <c r="D1" s="504"/>
      <c r="E1" s="504"/>
      <c r="F1" s="504"/>
      <c r="G1" s="504"/>
      <c r="H1" s="504"/>
      <c r="I1" s="504"/>
      <c r="J1" s="504"/>
      <c r="K1" s="504"/>
      <c r="L1" s="504"/>
      <c r="M1" s="504"/>
      <c r="N1" s="504"/>
      <c r="O1" s="504"/>
      <c r="P1" s="504"/>
      <c r="Q1" s="504"/>
      <c r="R1" s="504"/>
      <c r="S1" s="504"/>
      <c r="T1" s="504"/>
      <c r="U1" s="504"/>
      <c r="V1" s="504"/>
      <c r="W1" s="504"/>
      <c r="X1" s="504"/>
      <c r="Y1" s="504"/>
      <c r="Z1" s="504"/>
      <c r="AA1" s="504"/>
    </row>
    <row r="2" spans="1:56" ht="12.75" customHeight="1" x14ac:dyDescent="0.15">
      <c r="A2" s="504"/>
      <c r="B2" s="504"/>
      <c r="C2" s="504"/>
      <c r="D2" s="504"/>
      <c r="E2" s="504"/>
      <c r="F2" s="504"/>
      <c r="G2" s="504"/>
      <c r="H2" s="504"/>
      <c r="I2" s="504"/>
      <c r="J2" s="504"/>
      <c r="K2" s="504"/>
      <c r="L2" s="504"/>
      <c r="M2" s="504"/>
      <c r="N2" s="504"/>
      <c r="O2" s="504"/>
      <c r="P2" s="504"/>
      <c r="Q2" s="504"/>
      <c r="R2" s="504"/>
      <c r="S2" s="504"/>
      <c r="T2" s="504"/>
      <c r="U2" s="504"/>
      <c r="V2" s="504"/>
      <c r="W2" s="504"/>
      <c r="X2" s="504"/>
      <c r="Y2" s="504"/>
      <c r="Z2" s="504"/>
      <c r="AA2" s="504"/>
    </row>
    <row r="3" spans="1:56" ht="12.75" customHeight="1" x14ac:dyDescent="0.15">
      <c r="A3" s="504"/>
      <c r="B3" s="504"/>
      <c r="C3" s="504"/>
      <c r="D3" s="504"/>
      <c r="E3" s="504"/>
      <c r="F3" s="504"/>
      <c r="G3" s="504"/>
      <c r="H3" s="504"/>
      <c r="I3" s="504"/>
      <c r="J3" s="504"/>
      <c r="K3" s="504"/>
      <c r="L3" s="504"/>
      <c r="M3" s="504"/>
      <c r="N3" s="504"/>
      <c r="O3" s="504"/>
      <c r="P3" s="504"/>
      <c r="Q3" s="504"/>
      <c r="R3" s="504"/>
      <c r="S3" s="504"/>
      <c r="T3" s="504"/>
      <c r="U3" s="504"/>
      <c r="V3" s="504"/>
      <c r="W3" s="504"/>
      <c r="X3" s="504"/>
      <c r="Y3" s="504"/>
      <c r="Z3" s="504"/>
      <c r="AA3" s="504"/>
    </row>
    <row r="4" spans="1:56" ht="12.75" customHeight="1" x14ac:dyDescent="0.15">
      <c r="A4" s="270"/>
      <c r="B4" s="268"/>
      <c r="C4" s="268"/>
      <c r="D4" s="268"/>
      <c r="E4" s="268"/>
      <c r="F4" s="268"/>
      <c r="G4" s="285"/>
      <c r="H4" s="268"/>
      <c r="I4" s="268"/>
      <c r="J4" s="285"/>
      <c r="K4" s="268"/>
      <c r="L4" s="268"/>
      <c r="M4" s="268"/>
      <c r="N4" s="268"/>
      <c r="O4" s="268"/>
      <c r="P4" s="268"/>
      <c r="Q4" s="268"/>
      <c r="R4" s="268"/>
      <c r="S4" s="268"/>
      <c r="T4" s="268"/>
      <c r="U4" s="268"/>
      <c r="V4" s="285"/>
      <c r="W4" s="268"/>
      <c r="X4" s="268"/>
      <c r="Y4" s="268"/>
      <c r="Z4" s="268"/>
      <c r="AA4" s="268"/>
    </row>
    <row r="5" spans="1:56" ht="21" customHeight="1" x14ac:dyDescent="0.2">
      <c r="A5" s="226"/>
      <c r="B5" s="226"/>
      <c r="C5" s="226"/>
      <c r="D5" s="226"/>
      <c r="E5" s="226"/>
      <c r="F5" s="226"/>
      <c r="G5" s="280" t="s">
        <v>154</v>
      </c>
      <c r="H5" s="226"/>
      <c r="I5" s="226"/>
      <c r="J5" s="268"/>
      <c r="K5" s="268"/>
      <c r="L5" s="268"/>
      <c r="M5" s="268"/>
      <c r="N5" s="268"/>
      <c r="O5" s="268"/>
      <c r="P5" s="268"/>
      <c r="Q5" s="268"/>
      <c r="R5" s="268"/>
      <c r="S5" s="268"/>
      <c r="T5" s="268"/>
      <c r="U5" s="268"/>
      <c r="V5" s="287" t="s">
        <v>155</v>
      </c>
      <c r="W5" s="226"/>
      <c r="X5" s="226"/>
      <c r="Y5" s="270"/>
      <c r="Z5" s="226"/>
      <c r="AA5" s="226"/>
    </row>
    <row r="6" spans="1:56" ht="12.75" customHeight="1" x14ac:dyDescent="0.15">
      <c r="A6" s="286" t="s">
        <v>156</v>
      </c>
      <c r="B6" s="273" t="s">
        <v>141</v>
      </c>
      <c r="C6" s="282" t="s">
        <v>157</v>
      </c>
      <c r="D6" s="266" t="s">
        <v>158</v>
      </c>
      <c r="E6" s="228"/>
      <c r="F6" s="184"/>
      <c r="G6" s="266" t="s">
        <v>159</v>
      </c>
      <c r="H6" s="228"/>
      <c r="I6" s="184"/>
      <c r="J6" s="271" t="s">
        <v>160</v>
      </c>
      <c r="K6" s="228"/>
      <c r="L6" s="184"/>
      <c r="M6" s="283" t="s">
        <v>124</v>
      </c>
      <c r="N6" s="268"/>
      <c r="O6" s="268"/>
      <c r="P6" s="286" t="s">
        <v>156</v>
      </c>
      <c r="Q6" s="273" t="s">
        <v>141</v>
      </c>
      <c r="R6" s="282" t="s">
        <v>157</v>
      </c>
      <c r="S6" s="266" t="s">
        <v>161</v>
      </c>
      <c r="T6" s="228"/>
      <c r="U6" s="184"/>
      <c r="V6" s="266" t="s">
        <v>145</v>
      </c>
      <c r="W6" s="228"/>
      <c r="X6" s="184"/>
      <c r="Y6" s="271" t="s">
        <v>162</v>
      </c>
      <c r="Z6" s="228"/>
      <c r="AA6" s="184"/>
      <c r="AG6" s="138"/>
      <c r="AI6" s="143"/>
    </row>
    <row r="7" spans="1:56" ht="12.75" customHeight="1" x14ac:dyDescent="0.15">
      <c r="A7" s="259"/>
      <c r="B7" s="274"/>
      <c r="C7" s="274"/>
      <c r="D7" s="267"/>
      <c r="E7" s="268"/>
      <c r="F7" s="259"/>
      <c r="G7" s="267"/>
      <c r="H7" s="268"/>
      <c r="I7" s="259"/>
      <c r="J7" s="267"/>
      <c r="K7" s="268"/>
      <c r="L7" s="259"/>
      <c r="M7" s="267"/>
      <c r="N7" s="268"/>
      <c r="O7" s="268"/>
      <c r="P7" s="259"/>
      <c r="Q7" s="274"/>
      <c r="R7" s="274"/>
      <c r="S7" s="267"/>
      <c r="T7" s="268"/>
      <c r="U7" s="259"/>
      <c r="V7" s="267"/>
      <c r="W7" s="268"/>
      <c r="X7" s="259"/>
      <c r="Y7" s="267"/>
      <c r="Z7" s="268"/>
      <c r="AA7" s="259"/>
      <c r="AG7" s="138"/>
    </row>
    <row r="8" spans="1:56" ht="12.75" customHeight="1" x14ac:dyDescent="0.15">
      <c r="A8" s="259"/>
      <c r="B8" s="274"/>
      <c r="C8" s="274"/>
      <c r="D8" s="267"/>
      <c r="E8" s="268"/>
      <c r="F8" s="259"/>
      <c r="G8" s="267"/>
      <c r="H8" s="268"/>
      <c r="I8" s="259"/>
      <c r="J8" s="267"/>
      <c r="K8" s="268"/>
      <c r="L8" s="259"/>
      <c r="M8" s="267"/>
      <c r="N8" s="268"/>
      <c r="O8" s="268"/>
      <c r="P8" s="259"/>
      <c r="Q8" s="274"/>
      <c r="R8" s="274"/>
      <c r="S8" s="267"/>
      <c r="T8" s="268"/>
      <c r="U8" s="259"/>
      <c r="V8" s="267"/>
      <c r="W8" s="268"/>
      <c r="X8" s="259"/>
      <c r="Y8" s="267"/>
      <c r="Z8" s="268"/>
      <c r="AA8" s="259"/>
      <c r="AG8" s="138"/>
    </row>
    <row r="9" spans="1:56" ht="12.75" customHeight="1" x14ac:dyDescent="0.15">
      <c r="A9" s="259"/>
      <c r="B9" s="274"/>
      <c r="C9" s="274"/>
      <c r="D9" s="267"/>
      <c r="E9" s="268"/>
      <c r="F9" s="259"/>
      <c r="G9" s="267"/>
      <c r="H9" s="268"/>
      <c r="I9" s="259"/>
      <c r="J9" s="267"/>
      <c r="K9" s="268"/>
      <c r="L9" s="259"/>
      <c r="M9" s="267"/>
      <c r="N9" s="268"/>
      <c r="O9" s="268"/>
      <c r="P9" s="259"/>
      <c r="Q9" s="274"/>
      <c r="R9" s="274"/>
      <c r="S9" s="267"/>
      <c r="T9" s="268"/>
      <c r="U9" s="259"/>
      <c r="V9" s="267"/>
      <c r="W9" s="268"/>
      <c r="X9" s="259"/>
      <c r="Y9" s="267"/>
      <c r="Z9" s="268"/>
      <c r="AA9" s="259"/>
      <c r="AG9" s="138"/>
      <c r="AN9" s="142"/>
      <c r="AO9" s="133"/>
      <c r="AP9" s="133"/>
      <c r="AQ9" s="133"/>
      <c r="AR9" s="133"/>
      <c r="AS9" s="133"/>
      <c r="AT9" s="133"/>
      <c r="AU9" s="133"/>
      <c r="AV9" s="133"/>
      <c r="AW9" s="133"/>
      <c r="AX9" s="133"/>
      <c r="AY9" s="133"/>
      <c r="AZ9" s="133"/>
      <c r="BA9" s="133"/>
      <c r="BB9" s="133"/>
      <c r="BC9" s="133"/>
      <c r="BD9" s="133"/>
    </row>
    <row r="10" spans="1:56" ht="12.75" customHeight="1" x14ac:dyDescent="0.15">
      <c r="A10" s="259"/>
      <c r="B10" s="274"/>
      <c r="C10" s="274"/>
      <c r="D10" s="267"/>
      <c r="E10" s="268"/>
      <c r="F10" s="259"/>
      <c r="G10" s="267"/>
      <c r="H10" s="268"/>
      <c r="I10" s="259"/>
      <c r="J10" s="267"/>
      <c r="K10" s="268"/>
      <c r="L10" s="259"/>
      <c r="M10" s="267"/>
      <c r="N10" s="268"/>
      <c r="O10" s="268"/>
      <c r="P10" s="259"/>
      <c r="Q10" s="274"/>
      <c r="R10" s="274"/>
      <c r="S10" s="267"/>
      <c r="T10" s="268"/>
      <c r="U10" s="259"/>
      <c r="V10" s="267"/>
      <c r="W10" s="268"/>
      <c r="X10" s="259"/>
      <c r="Y10" s="267"/>
      <c r="Z10" s="268"/>
      <c r="AA10" s="259"/>
      <c r="AG10" s="138"/>
      <c r="AN10" s="142"/>
      <c r="AO10" s="133"/>
      <c r="AP10" s="133"/>
      <c r="AQ10" s="133"/>
      <c r="AR10" s="133"/>
      <c r="AS10" s="133"/>
      <c r="AT10" s="133"/>
      <c r="AU10" s="133"/>
      <c r="AV10" s="133"/>
      <c r="AW10" s="133"/>
      <c r="AX10" s="133"/>
      <c r="AY10" s="133"/>
      <c r="AZ10" s="133"/>
      <c r="BA10" s="133"/>
      <c r="BB10" s="133"/>
      <c r="BC10" s="133"/>
      <c r="BD10" s="133"/>
    </row>
    <row r="11" spans="1:56" ht="42" customHeight="1" x14ac:dyDescent="0.15">
      <c r="A11" s="259"/>
      <c r="B11" s="261"/>
      <c r="C11" s="261"/>
      <c r="D11" s="247"/>
      <c r="E11" s="226"/>
      <c r="F11" s="214"/>
      <c r="G11" s="247"/>
      <c r="H11" s="226"/>
      <c r="I11" s="214"/>
      <c r="J11" s="247"/>
      <c r="K11" s="226"/>
      <c r="L11" s="214"/>
      <c r="M11" s="267"/>
      <c r="N11" s="268"/>
      <c r="O11" s="268"/>
      <c r="P11" s="259"/>
      <c r="Q11" s="261"/>
      <c r="R11" s="261"/>
      <c r="S11" s="247"/>
      <c r="T11" s="226"/>
      <c r="U11" s="214"/>
      <c r="V11" s="247"/>
      <c r="W11" s="226"/>
      <c r="X11" s="214"/>
      <c r="Y11" s="247"/>
      <c r="Z11" s="226"/>
      <c r="AA11" s="214"/>
      <c r="AG11" s="138"/>
      <c r="AN11" s="142"/>
      <c r="AO11" s="142"/>
      <c r="AP11" s="133"/>
      <c r="AQ11" s="133"/>
      <c r="AR11" s="133"/>
      <c r="AS11" s="133"/>
      <c r="AT11" s="133"/>
      <c r="AU11" s="133"/>
      <c r="AV11" s="133"/>
      <c r="AW11" s="133"/>
      <c r="AX11" s="133"/>
      <c r="AY11" s="133"/>
      <c r="AZ11" s="133"/>
      <c r="BA11" s="133"/>
      <c r="BB11" s="133"/>
      <c r="BC11" s="133"/>
      <c r="BD11" s="133"/>
    </row>
    <row r="12" spans="1:56" ht="12.75" customHeight="1" x14ac:dyDescent="0.15">
      <c r="A12" s="259"/>
      <c r="B12" s="273" t="s">
        <v>144</v>
      </c>
      <c r="C12" s="279" t="s">
        <v>163</v>
      </c>
      <c r="D12" s="266" t="s">
        <v>164</v>
      </c>
      <c r="E12" s="228"/>
      <c r="F12" s="184"/>
      <c r="G12" s="284" t="s">
        <v>165</v>
      </c>
      <c r="H12" s="228"/>
      <c r="I12" s="184"/>
      <c r="J12" s="284" t="s">
        <v>166</v>
      </c>
      <c r="K12" s="228"/>
      <c r="L12" s="184"/>
      <c r="M12" s="267"/>
      <c r="N12" s="268"/>
      <c r="O12" s="268"/>
      <c r="P12" s="259"/>
      <c r="Q12" s="273" t="s">
        <v>144</v>
      </c>
      <c r="R12" s="279" t="s">
        <v>163</v>
      </c>
      <c r="S12" s="266" t="s">
        <v>167</v>
      </c>
      <c r="T12" s="228"/>
      <c r="U12" s="184"/>
      <c r="V12" s="269" t="s">
        <v>148</v>
      </c>
      <c r="W12" s="228"/>
      <c r="X12" s="184"/>
      <c r="Y12" s="266" t="s">
        <v>168</v>
      </c>
      <c r="Z12" s="228"/>
      <c r="AA12" s="184"/>
      <c r="AG12" s="138"/>
    </row>
    <row r="13" spans="1:56" ht="12.75" customHeight="1" x14ac:dyDescent="0.15">
      <c r="A13" s="259"/>
      <c r="B13" s="274"/>
      <c r="C13" s="274"/>
      <c r="D13" s="267"/>
      <c r="E13" s="268"/>
      <c r="F13" s="259"/>
      <c r="G13" s="267"/>
      <c r="H13" s="268"/>
      <c r="I13" s="259"/>
      <c r="J13" s="267"/>
      <c r="K13" s="268"/>
      <c r="L13" s="259"/>
      <c r="M13" s="267"/>
      <c r="N13" s="268"/>
      <c r="O13" s="268"/>
      <c r="P13" s="259"/>
      <c r="Q13" s="274"/>
      <c r="R13" s="274"/>
      <c r="S13" s="267"/>
      <c r="T13" s="268"/>
      <c r="U13" s="259"/>
      <c r="V13" s="267"/>
      <c r="W13" s="268"/>
      <c r="X13" s="259"/>
      <c r="Y13" s="267"/>
      <c r="Z13" s="268"/>
      <c r="AA13" s="259"/>
      <c r="AG13" s="138"/>
    </row>
    <row r="14" spans="1:56" ht="12.75" customHeight="1" x14ac:dyDescent="0.15">
      <c r="A14" s="259"/>
      <c r="B14" s="274"/>
      <c r="C14" s="274"/>
      <c r="D14" s="267"/>
      <c r="E14" s="268"/>
      <c r="F14" s="259"/>
      <c r="G14" s="267"/>
      <c r="H14" s="268"/>
      <c r="I14" s="259"/>
      <c r="J14" s="267"/>
      <c r="K14" s="268"/>
      <c r="L14" s="259"/>
      <c r="M14" s="267"/>
      <c r="N14" s="268"/>
      <c r="O14" s="268"/>
      <c r="P14" s="259"/>
      <c r="Q14" s="274"/>
      <c r="R14" s="274"/>
      <c r="S14" s="267"/>
      <c r="T14" s="268"/>
      <c r="U14" s="259"/>
      <c r="V14" s="267"/>
      <c r="W14" s="268"/>
      <c r="X14" s="259"/>
      <c r="Y14" s="267"/>
      <c r="Z14" s="268"/>
      <c r="AA14" s="259"/>
      <c r="AG14" s="138"/>
    </row>
    <row r="15" spans="1:56" ht="12.75" customHeight="1" x14ac:dyDescent="0.15">
      <c r="A15" s="259"/>
      <c r="B15" s="274"/>
      <c r="C15" s="274"/>
      <c r="D15" s="267"/>
      <c r="E15" s="268"/>
      <c r="F15" s="259"/>
      <c r="G15" s="267"/>
      <c r="H15" s="268"/>
      <c r="I15" s="259"/>
      <c r="J15" s="267"/>
      <c r="K15" s="268"/>
      <c r="L15" s="259"/>
      <c r="M15" s="267"/>
      <c r="N15" s="268"/>
      <c r="O15" s="268"/>
      <c r="P15" s="259"/>
      <c r="Q15" s="274"/>
      <c r="R15" s="274"/>
      <c r="S15" s="267"/>
      <c r="T15" s="268"/>
      <c r="U15" s="259"/>
      <c r="V15" s="267"/>
      <c r="W15" s="268"/>
      <c r="X15" s="259"/>
      <c r="Y15" s="267"/>
      <c r="Z15" s="268"/>
      <c r="AA15" s="259"/>
      <c r="AG15" s="138"/>
    </row>
    <row r="16" spans="1:56" ht="12.75" customHeight="1" x14ac:dyDescent="0.15">
      <c r="A16" s="259"/>
      <c r="B16" s="274"/>
      <c r="C16" s="274"/>
      <c r="D16" s="267"/>
      <c r="E16" s="268"/>
      <c r="F16" s="259"/>
      <c r="G16" s="267"/>
      <c r="H16" s="268"/>
      <c r="I16" s="259"/>
      <c r="J16" s="267"/>
      <c r="K16" s="268"/>
      <c r="L16" s="259"/>
      <c r="M16" s="267"/>
      <c r="N16" s="268"/>
      <c r="O16" s="268"/>
      <c r="P16" s="259"/>
      <c r="Q16" s="274"/>
      <c r="R16" s="274"/>
      <c r="S16" s="267"/>
      <c r="T16" s="268"/>
      <c r="U16" s="259"/>
      <c r="V16" s="267"/>
      <c r="W16" s="268"/>
      <c r="X16" s="259"/>
      <c r="Y16" s="267"/>
      <c r="Z16" s="268"/>
      <c r="AA16" s="259"/>
    </row>
    <row r="17" spans="1:27" ht="12.75" customHeight="1" x14ac:dyDescent="0.15">
      <c r="A17" s="259"/>
      <c r="B17" s="274"/>
      <c r="C17" s="274"/>
      <c r="D17" s="267"/>
      <c r="E17" s="268"/>
      <c r="F17" s="259"/>
      <c r="G17" s="267"/>
      <c r="H17" s="268"/>
      <c r="I17" s="259"/>
      <c r="J17" s="267"/>
      <c r="K17" s="268"/>
      <c r="L17" s="259"/>
      <c r="M17" s="267"/>
      <c r="N17" s="268"/>
      <c r="O17" s="268"/>
      <c r="P17" s="259"/>
      <c r="Q17" s="274"/>
      <c r="R17" s="274"/>
      <c r="S17" s="267"/>
      <c r="T17" s="268"/>
      <c r="U17" s="259"/>
      <c r="V17" s="267"/>
      <c r="W17" s="268"/>
      <c r="X17" s="259"/>
      <c r="Y17" s="267"/>
      <c r="Z17" s="268"/>
      <c r="AA17" s="259"/>
    </row>
    <row r="18" spans="1:27" ht="78.75" customHeight="1" x14ac:dyDescent="0.15">
      <c r="A18" s="259"/>
      <c r="B18" s="261"/>
      <c r="C18" s="261"/>
      <c r="D18" s="247"/>
      <c r="E18" s="226"/>
      <c r="F18" s="214"/>
      <c r="G18" s="247"/>
      <c r="H18" s="226"/>
      <c r="I18" s="214"/>
      <c r="J18" s="247"/>
      <c r="K18" s="226"/>
      <c r="L18" s="214"/>
      <c r="M18" s="267"/>
      <c r="N18" s="268"/>
      <c r="O18" s="268"/>
      <c r="P18" s="259"/>
      <c r="Q18" s="261"/>
      <c r="R18" s="261"/>
      <c r="S18" s="247"/>
      <c r="T18" s="226"/>
      <c r="U18" s="214"/>
      <c r="V18" s="247"/>
      <c r="W18" s="226"/>
      <c r="X18" s="214"/>
      <c r="Y18" s="247"/>
      <c r="Z18" s="226"/>
      <c r="AA18" s="214"/>
    </row>
    <row r="19" spans="1:27" ht="12.75" customHeight="1" x14ac:dyDescent="0.15">
      <c r="A19" s="259"/>
      <c r="B19" s="273" t="s">
        <v>143</v>
      </c>
      <c r="C19" s="279" t="s">
        <v>169</v>
      </c>
      <c r="D19" s="266" t="s">
        <v>170</v>
      </c>
      <c r="E19" s="228"/>
      <c r="F19" s="184"/>
      <c r="G19" s="266" t="s">
        <v>171</v>
      </c>
      <c r="H19" s="228"/>
      <c r="I19" s="184"/>
      <c r="J19" s="266" t="s">
        <v>172</v>
      </c>
      <c r="K19" s="228"/>
      <c r="L19" s="184"/>
      <c r="M19" s="267"/>
      <c r="N19" s="268"/>
      <c r="O19" s="268"/>
      <c r="P19" s="259"/>
      <c r="Q19" s="273" t="s">
        <v>143</v>
      </c>
      <c r="R19" s="279" t="s">
        <v>169</v>
      </c>
      <c r="S19" s="266" t="s">
        <v>173</v>
      </c>
      <c r="T19" s="228"/>
      <c r="U19" s="184"/>
      <c r="V19" s="266" t="s">
        <v>174</v>
      </c>
      <c r="W19" s="228"/>
      <c r="X19" s="184"/>
      <c r="Y19" s="266" t="s">
        <v>175</v>
      </c>
      <c r="Z19" s="228"/>
      <c r="AA19" s="184"/>
    </row>
    <row r="20" spans="1:27" ht="12.75" customHeight="1" x14ac:dyDescent="0.15">
      <c r="A20" s="259"/>
      <c r="B20" s="274"/>
      <c r="C20" s="274"/>
      <c r="D20" s="267"/>
      <c r="E20" s="268"/>
      <c r="F20" s="259"/>
      <c r="G20" s="267"/>
      <c r="H20" s="268"/>
      <c r="I20" s="259"/>
      <c r="J20" s="267"/>
      <c r="K20" s="268"/>
      <c r="L20" s="259"/>
      <c r="M20" s="267"/>
      <c r="N20" s="268"/>
      <c r="O20" s="268"/>
      <c r="P20" s="259"/>
      <c r="Q20" s="274"/>
      <c r="R20" s="274"/>
      <c r="S20" s="267"/>
      <c r="T20" s="268"/>
      <c r="U20" s="259"/>
      <c r="V20" s="267"/>
      <c r="W20" s="268"/>
      <c r="X20" s="259"/>
      <c r="Y20" s="267"/>
      <c r="Z20" s="268"/>
      <c r="AA20" s="259"/>
    </row>
    <row r="21" spans="1:27" ht="12.75" customHeight="1" x14ac:dyDescent="0.15">
      <c r="A21" s="259"/>
      <c r="B21" s="274"/>
      <c r="C21" s="274"/>
      <c r="D21" s="267"/>
      <c r="E21" s="268"/>
      <c r="F21" s="259"/>
      <c r="G21" s="267"/>
      <c r="H21" s="268"/>
      <c r="I21" s="259"/>
      <c r="J21" s="267"/>
      <c r="K21" s="268"/>
      <c r="L21" s="259"/>
      <c r="M21" s="267"/>
      <c r="N21" s="268"/>
      <c r="O21" s="268"/>
      <c r="P21" s="259"/>
      <c r="Q21" s="274"/>
      <c r="R21" s="274"/>
      <c r="S21" s="267"/>
      <c r="T21" s="268"/>
      <c r="U21" s="259"/>
      <c r="V21" s="267"/>
      <c r="W21" s="268"/>
      <c r="X21" s="259"/>
      <c r="Y21" s="267"/>
      <c r="Z21" s="268"/>
      <c r="AA21" s="259"/>
    </row>
    <row r="22" spans="1:27" ht="12.75" customHeight="1" x14ac:dyDescent="0.15">
      <c r="A22" s="259"/>
      <c r="B22" s="274"/>
      <c r="C22" s="274"/>
      <c r="D22" s="267"/>
      <c r="E22" s="268"/>
      <c r="F22" s="259"/>
      <c r="G22" s="267"/>
      <c r="H22" s="268"/>
      <c r="I22" s="259"/>
      <c r="J22" s="267"/>
      <c r="K22" s="268"/>
      <c r="L22" s="259"/>
      <c r="M22" s="267"/>
      <c r="N22" s="268"/>
      <c r="O22" s="268"/>
      <c r="P22" s="259"/>
      <c r="Q22" s="274"/>
      <c r="R22" s="274"/>
      <c r="S22" s="267"/>
      <c r="T22" s="268"/>
      <c r="U22" s="259"/>
      <c r="V22" s="267"/>
      <c r="W22" s="268"/>
      <c r="X22" s="259"/>
      <c r="Y22" s="267"/>
      <c r="Z22" s="268"/>
      <c r="AA22" s="259"/>
    </row>
    <row r="23" spans="1:27" ht="12.75" customHeight="1" x14ac:dyDescent="0.15">
      <c r="A23" s="259"/>
      <c r="B23" s="274"/>
      <c r="C23" s="274"/>
      <c r="D23" s="267"/>
      <c r="E23" s="268"/>
      <c r="F23" s="259"/>
      <c r="G23" s="267"/>
      <c r="H23" s="268"/>
      <c r="I23" s="259"/>
      <c r="J23" s="267"/>
      <c r="K23" s="268"/>
      <c r="L23" s="259"/>
      <c r="M23" s="267"/>
      <c r="N23" s="268"/>
      <c r="O23" s="268"/>
      <c r="P23" s="259"/>
      <c r="Q23" s="274"/>
      <c r="R23" s="274"/>
      <c r="S23" s="267"/>
      <c r="T23" s="268"/>
      <c r="U23" s="259"/>
      <c r="V23" s="267"/>
      <c r="W23" s="268"/>
      <c r="X23" s="259"/>
      <c r="Y23" s="267"/>
      <c r="Z23" s="268"/>
      <c r="AA23" s="259"/>
    </row>
    <row r="24" spans="1:27" ht="72" customHeight="1" x14ac:dyDescent="0.15">
      <c r="A24" s="259"/>
      <c r="B24" s="261"/>
      <c r="C24" s="261"/>
      <c r="D24" s="247"/>
      <c r="E24" s="226"/>
      <c r="F24" s="214"/>
      <c r="G24" s="247"/>
      <c r="H24" s="226"/>
      <c r="I24" s="214"/>
      <c r="J24" s="247"/>
      <c r="K24" s="226"/>
      <c r="L24" s="214"/>
      <c r="M24" s="267"/>
      <c r="N24" s="268"/>
      <c r="O24" s="268"/>
      <c r="P24" s="259"/>
      <c r="Q24" s="261"/>
      <c r="R24" s="261"/>
      <c r="S24" s="247"/>
      <c r="T24" s="226"/>
      <c r="U24" s="214"/>
      <c r="V24" s="247"/>
      <c r="W24" s="226"/>
      <c r="X24" s="214"/>
      <c r="Y24" s="247"/>
      <c r="Z24" s="226"/>
      <c r="AA24" s="214"/>
    </row>
    <row r="25" spans="1:27" ht="15" customHeight="1" x14ac:dyDescent="0.15">
      <c r="A25" s="281"/>
      <c r="B25" s="268"/>
      <c r="C25" s="259"/>
      <c r="D25" s="272" t="s">
        <v>176</v>
      </c>
      <c r="E25" s="181"/>
      <c r="F25" s="188"/>
      <c r="G25" s="272" t="s">
        <v>177</v>
      </c>
      <c r="H25" s="181"/>
      <c r="I25" s="188"/>
      <c r="J25" s="272" t="s">
        <v>178</v>
      </c>
      <c r="K25" s="181"/>
      <c r="L25" s="188"/>
      <c r="M25" s="267"/>
      <c r="N25" s="268"/>
      <c r="O25" s="268"/>
      <c r="P25" s="281"/>
      <c r="Q25" s="268"/>
      <c r="R25" s="259"/>
      <c r="S25" s="272" t="s">
        <v>176</v>
      </c>
      <c r="T25" s="181"/>
      <c r="U25" s="188"/>
      <c r="V25" s="272" t="s">
        <v>177</v>
      </c>
      <c r="W25" s="181"/>
      <c r="X25" s="188"/>
      <c r="Y25" s="272" t="s">
        <v>178</v>
      </c>
      <c r="Z25" s="181"/>
      <c r="AA25" s="188"/>
    </row>
    <row r="26" spans="1:27" ht="15" customHeight="1" x14ac:dyDescent="0.15">
      <c r="A26" s="268"/>
      <c r="B26" s="268"/>
      <c r="C26" s="259"/>
      <c r="D26" s="277" t="s">
        <v>143</v>
      </c>
      <c r="E26" s="181"/>
      <c r="F26" s="188"/>
      <c r="G26" s="277" t="s">
        <v>144</v>
      </c>
      <c r="H26" s="181"/>
      <c r="I26" s="188"/>
      <c r="J26" s="277" t="s">
        <v>141</v>
      </c>
      <c r="K26" s="181"/>
      <c r="L26" s="188"/>
      <c r="M26" s="267"/>
      <c r="N26" s="268"/>
      <c r="O26" s="268"/>
      <c r="P26" s="268"/>
      <c r="Q26" s="268"/>
      <c r="R26" s="259"/>
      <c r="S26" s="277" t="s">
        <v>143</v>
      </c>
      <c r="T26" s="181"/>
      <c r="U26" s="188"/>
      <c r="V26" s="277" t="s">
        <v>144</v>
      </c>
      <c r="W26" s="181"/>
      <c r="X26" s="188"/>
      <c r="Y26" s="277" t="s">
        <v>141</v>
      </c>
      <c r="Z26" s="181"/>
      <c r="AA26" s="188"/>
    </row>
    <row r="27" spans="1:27" ht="15" customHeight="1" x14ac:dyDescent="0.15">
      <c r="A27" s="268"/>
      <c r="B27" s="268"/>
      <c r="C27" s="259"/>
      <c r="D27" s="277" t="s">
        <v>137</v>
      </c>
      <c r="E27" s="181"/>
      <c r="F27" s="181"/>
      <c r="G27" s="181"/>
      <c r="H27" s="181"/>
      <c r="I27" s="181"/>
      <c r="J27" s="181"/>
      <c r="K27" s="181"/>
      <c r="L27" s="188"/>
      <c r="M27" s="267"/>
      <c r="N27" s="268"/>
      <c r="O27" s="268"/>
      <c r="P27" s="268"/>
      <c r="Q27" s="268"/>
      <c r="R27" s="259"/>
      <c r="S27" s="277" t="s">
        <v>137</v>
      </c>
      <c r="T27" s="181"/>
      <c r="U27" s="181"/>
      <c r="V27" s="181"/>
      <c r="W27" s="181"/>
      <c r="X27" s="181"/>
      <c r="Y27" s="181"/>
      <c r="Z27" s="181"/>
      <c r="AA27" s="188"/>
    </row>
    <row r="34" spans="4:16" ht="12.75" customHeight="1" x14ac:dyDescent="0.15">
      <c r="P34" s="143"/>
    </row>
    <row r="46" spans="4:16" ht="12.75" customHeight="1" x14ac:dyDescent="0.15">
      <c r="D46" s="278" t="str">
        <f>'مراجعة الأداء'!M36</f>
        <v>إمكانات عالية</v>
      </c>
      <c r="E46" s="228"/>
      <c r="F46" s="184"/>
      <c r="G46" s="278" t="str">
        <f>D46</f>
        <v>إمكانات عالية</v>
      </c>
      <c r="H46" s="228"/>
      <c r="I46" s="184"/>
      <c r="J46" s="276" t="str">
        <f>G46</f>
        <v>إمكانات عالية</v>
      </c>
      <c r="K46" s="228"/>
      <c r="L46" s="184"/>
    </row>
    <row r="47" spans="4:16" ht="12.75" customHeight="1" x14ac:dyDescent="0.15">
      <c r="D47" s="267"/>
      <c r="E47" s="268"/>
      <c r="F47" s="259"/>
      <c r="G47" s="267"/>
      <c r="H47" s="268"/>
      <c r="I47" s="259"/>
      <c r="J47" s="267"/>
      <c r="K47" s="268"/>
      <c r="L47" s="259"/>
    </row>
    <row r="48" spans="4:16" ht="12.75" customHeight="1" x14ac:dyDescent="0.15">
      <c r="D48" s="267"/>
      <c r="E48" s="268"/>
      <c r="F48" s="259"/>
      <c r="G48" s="267"/>
      <c r="H48" s="268"/>
      <c r="I48" s="259"/>
      <c r="J48" s="267"/>
      <c r="K48" s="268"/>
      <c r="L48" s="259"/>
    </row>
    <row r="49" spans="4:12" ht="12.75" customHeight="1" x14ac:dyDescent="0.15">
      <c r="D49" s="267"/>
      <c r="E49" s="268"/>
      <c r="F49" s="259"/>
      <c r="G49" s="267"/>
      <c r="H49" s="268"/>
      <c r="I49" s="259"/>
      <c r="J49" s="267"/>
      <c r="K49" s="268"/>
      <c r="L49" s="259"/>
    </row>
    <row r="50" spans="4:12" ht="12.75" customHeight="1" x14ac:dyDescent="0.15">
      <c r="D50" s="267"/>
      <c r="E50" s="268"/>
      <c r="F50" s="259"/>
      <c r="G50" s="267"/>
      <c r="H50" s="268"/>
      <c r="I50" s="259"/>
      <c r="J50" s="267"/>
      <c r="K50" s="268"/>
      <c r="L50" s="259"/>
    </row>
    <row r="51" spans="4:12" ht="12.75" customHeight="1" x14ac:dyDescent="0.15">
      <c r="D51" s="247"/>
      <c r="E51" s="226"/>
      <c r="F51" s="214"/>
      <c r="G51" s="247"/>
      <c r="H51" s="226"/>
      <c r="I51" s="214"/>
      <c r="J51" s="247"/>
      <c r="K51" s="226"/>
      <c r="L51" s="214"/>
    </row>
    <row r="52" spans="4:12" ht="12.75" customHeight="1" x14ac:dyDescent="0.15">
      <c r="D52" s="278" t="str">
        <f>J46</f>
        <v>إمكانات عالية</v>
      </c>
      <c r="E52" s="228"/>
      <c r="F52" s="184"/>
      <c r="G52" s="275" t="str">
        <f>D52</f>
        <v>إمكانات عالية</v>
      </c>
      <c r="H52" s="228"/>
      <c r="I52" s="184"/>
      <c r="J52" s="275" t="str">
        <f>G52</f>
        <v>إمكانات عالية</v>
      </c>
      <c r="K52" s="228"/>
      <c r="L52" s="184"/>
    </row>
    <row r="53" spans="4:12" ht="12.75" customHeight="1" x14ac:dyDescent="0.15">
      <c r="D53" s="267"/>
      <c r="E53" s="268"/>
      <c r="F53" s="259"/>
      <c r="G53" s="267"/>
      <c r="H53" s="268"/>
      <c r="I53" s="259"/>
      <c r="J53" s="267"/>
      <c r="K53" s="268"/>
      <c r="L53" s="259"/>
    </row>
    <row r="54" spans="4:12" ht="12.75" customHeight="1" x14ac:dyDescent="0.15">
      <c r="D54" s="267"/>
      <c r="E54" s="268"/>
      <c r="F54" s="259"/>
      <c r="G54" s="267"/>
      <c r="H54" s="268"/>
      <c r="I54" s="259"/>
      <c r="J54" s="267"/>
      <c r="K54" s="268"/>
      <c r="L54" s="259"/>
    </row>
    <row r="55" spans="4:12" ht="12.75" customHeight="1" x14ac:dyDescent="0.15">
      <c r="D55" s="267"/>
      <c r="E55" s="268"/>
      <c r="F55" s="259"/>
      <c r="G55" s="267"/>
      <c r="H55" s="268"/>
      <c r="I55" s="259"/>
      <c r="J55" s="267"/>
      <c r="K55" s="268"/>
      <c r="L55" s="259"/>
    </row>
    <row r="56" spans="4:12" ht="12.75" customHeight="1" x14ac:dyDescent="0.15">
      <c r="D56" s="267"/>
      <c r="E56" s="268"/>
      <c r="F56" s="259"/>
      <c r="G56" s="267"/>
      <c r="H56" s="268"/>
      <c r="I56" s="259"/>
      <c r="J56" s="267"/>
      <c r="K56" s="268"/>
      <c r="L56" s="259"/>
    </row>
    <row r="57" spans="4:12" ht="12.75" customHeight="1" x14ac:dyDescent="0.15">
      <c r="D57" s="267"/>
      <c r="E57" s="268"/>
      <c r="F57" s="259"/>
      <c r="G57" s="267"/>
      <c r="H57" s="268"/>
      <c r="I57" s="259"/>
      <c r="J57" s="267"/>
      <c r="K57" s="268"/>
      <c r="L57" s="259"/>
    </row>
    <row r="58" spans="4:12" ht="12.75" customHeight="1" x14ac:dyDescent="0.15">
      <c r="D58" s="247"/>
      <c r="E58" s="226"/>
      <c r="F58" s="214"/>
      <c r="G58" s="247"/>
      <c r="H58" s="226"/>
      <c r="I58" s="214"/>
      <c r="J58" s="247"/>
      <c r="K58" s="226"/>
      <c r="L58" s="214"/>
    </row>
    <row r="59" spans="4:12" ht="12.75" customHeight="1" x14ac:dyDescent="0.15">
      <c r="D59" s="278" t="str">
        <f>J52</f>
        <v>إمكانات عالية</v>
      </c>
      <c r="E59" s="228"/>
      <c r="F59" s="184"/>
      <c r="G59" s="278" t="str">
        <f>D59</f>
        <v>إمكانات عالية</v>
      </c>
      <c r="H59" s="228"/>
      <c r="I59" s="184"/>
      <c r="J59" s="278" t="str">
        <f>G59</f>
        <v>إمكانات عالية</v>
      </c>
      <c r="K59" s="228"/>
      <c r="L59" s="184"/>
    </row>
    <row r="60" spans="4:12" ht="12.75" customHeight="1" x14ac:dyDescent="0.15">
      <c r="D60" s="267"/>
      <c r="E60" s="268"/>
      <c r="F60" s="259"/>
      <c r="G60" s="267"/>
      <c r="H60" s="268"/>
      <c r="I60" s="259"/>
      <c r="J60" s="267"/>
      <c r="K60" s="268"/>
      <c r="L60" s="259"/>
    </row>
    <row r="61" spans="4:12" ht="12.75" customHeight="1" x14ac:dyDescent="0.15">
      <c r="D61" s="267"/>
      <c r="E61" s="268"/>
      <c r="F61" s="259"/>
      <c r="G61" s="267"/>
      <c r="H61" s="268"/>
      <c r="I61" s="259"/>
      <c r="J61" s="267"/>
      <c r="K61" s="268"/>
      <c r="L61" s="259"/>
    </row>
    <row r="62" spans="4:12" ht="12.75" customHeight="1" x14ac:dyDescent="0.15">
      <c r="D62" s="267"/>
      <c r="E62" s="268"/>
      <c r="F62" s="259"/>
      <c r="G62" s="267"/>
      <c r="H62" s="268"/>
      <c r="I62" s="259"/>
      <c r="J62" s="267"/>
      <c r="K62" s="268"/>
      <c r="L62" s="259"/>
    </row>
    <row r="63" spans="4:12" ht="12.75" customHeight="1" x14ac:dyDescent="0.15">
      <c r="D63" s="267"/>
      <c r="E63" s="268"/>
      <c r="F63" s="259"/>
      <c r="G63" s="267"/>
      <c r="H63" s="268"/>
      <c r="I63" s="259"/>
      <c r="J63" s="267"/>
      <c r="K63" s="268"/>
      <c r="L63" s="259"/>
    </row>
    <row r="64" spans="4:12" ht="12.75" customHeight="1" x14ac:dyDescent="0.15">
      <c r="D64" s="247"/>
      <c r="E64" s="226"/>
      <c r="F64" s="214"/>
      <c r="G64" s="247"/>
      <c r="H64" s="226"/>
      <c r="I64" s="214"/>
      <c r="J64" s="247"/>
      <c r="K64" s="226"/>
      <c r="L64" s="214"/>
    </row>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sheetData>
  <mergeCells count="66">
    <mergeCell ref="A1:AA3"/>
    <mergeCell ref="S27:AA27"/>
    <mergeCell ref="R12:R18"/>
    <mergeCell ref="G12:I18"/>
    <mergeCell ref="A4:F5"/>
    <mergeCell ref="C19:C24"/>
    <mergeCell ref="P25:R27"/>
    <mergeCell ref="G6:I11"/>
    <mergeCell ref="V4:AA4"/>
    <mergeCell ref="V5:X5"/>
    <mergeCell ref="S19:U24"/>
    <mergeCell ref="Y19:AA24"/>
    <mergeCell ref="A6:A24"/>
    <mergeCell ref="D25:F25"/>
    <mergeCell ref="D6:F11"/>
    <mergeCell ref="G4:I4"/>
    <mergeCell ref="R6:R11"/>
    <mergeCell ref="G26:I26"/>
    <mergeCell ref="P6:P24"/>
    <mergeCell ref="Q19:Q24"/>
    <mergeCell ref="G25:I25"/>
    <mergeCell ref="J4:U5"/>
    <mergeCell ref="B12:B18"/>
    <mergeCell ref="G59:I64"/>
    <mergeCell ref="G5:I5"/>
    <mergeCell ref="D19:F24"/>
    <mergeCell ref="G46:I51"/>
    <mergeCell ref="A25:C27"/>
    <mergeCell ref="C12:C18"/>
    <mergeCell ref="C6:C11"/>
    <mergeCell ref="D12:F18"/>
    <mergeCell ref="D26:F26"/>
    <mergeCell ref="B6:B11"/>
    <mergeCell ref="J59:L64"/>
    <mergeCell ref="J6:L11"/>
    <mergeCell ref="V6:X11"/>
    <mergeCell ref="D52:F58"/>
    <mergeCell ref="R19:R24"/>
    <mergeCell ref="V26:X26"/>
    <mergeCell ref="V25:X25"/>
    <mergeCell ref="D59:F64"/>
    <mergeCell ref="D46:F51"/>
    <mergeCell ref="S26:U26"/>
    <mergeCell ref="S25:U25"/>
    <mergeCell ref="M6:O27"/>
    <mergeCell ref="J19:L24"/>
    <mergeCell ref="Q6:Q11"/>
    <mergeCell ref="Q12:Q18"/>
    <mergeCell ref="J12:L18"/>
    <mergeCell ref="Y25:AA25"/>
    <mergeCell ref="J25:L25"/>
    <mergeCell ref="B19:B24"/>
    <mergeCell ref="G19:I24"/>
    <mergeCell ref="G52:I58"/>
    <mergeCell ref="J46:L51"/>
    <mergeCell ref="Y26:AA26"/>
    <mergeCell ref="J26:L26"/>
    <mergeCell ref="D27:L27"/>
    <mergeCell ref="V19:X24"/>
    <mergeCell ref="J52:L58"/>
    <mergeCell ref="Y12:AA18"/>
    <mergeCell ref="V12:X18"/>
    <mergeCell ref="S6:U11"/>
    <mergeCell ref="Y5:AA5"/>
    <mergeCell ref="S12:U18"/>
    <mergeCell ref="Y6:AA11"/>
  </mergeCells>
  <conditionalFormatting sqref="D6:L24">
    <cfRule type="expression" dxfId="1" priority="3">
      <formula>LEFT((D6),LEN(D46))=(D46)</formula>
    </cfRule>
  </conditionalFormatting>
  <conditionalFormatting sqref="S6:AA24">
    <cfRule type="expression" dxfId="0" priority="2">
      <formula>LEFT((S6),LEN(D46))=(D46)</formula>
    </cfRule>
  </conditionalFormatting>
  <pageMargins left="0.7" right="0.7" top="0.75" bottom="0.75" header="0.511811023622047" footer="0.511811023622047"/>
  <pageSetup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CC"/>
  </sheetPr>
  <dimension ref="A2:H33"/>
  <sheetViews>
    <sheetView showGridLines="0" zoomScaleNormal="100" workbookViewId="0">
      <selection activeCell="H35" sqref="H35"/>
    </sheetView>
  </sheetViews>
  <sheetFormatPr baseColWidth="10" defaultColWidth="9.1640625" defaultRowHeight="15" x14ac:dyDescent="0.2"/>
  <cols>
    <col min="1" max="1" width="9.33203125" style="144" customWidth="1"/>
    <col min="2" max="2" width="9.1640625" style="144" customWidth="1"/>
    <col min="3" max="3" width="53.33203125" style="144" customWidth="1"/>
    <col min="4" max="4" width="16.1640625" style="144" customWidth="1"/>
    <col min="5" max="5" width="9.1640625" style="144" customWidth="1"/>
    <col min="6" max="6" width="10.5" style="144" customWidth="1"/>
    <col min="7" max="7" width="12" style="144" customWidth="1"/>
    <col min="8" max="8" width="18.33203125" style="144" customWidth="1"/>
    <col min="9" max="9" width="9.1640625" style="144" customWidth="1"/>
    <col min="10" max="16384" width="9.1640625" style="144"/>
  </cols>
  <sheetData>
    <row r="2" spans="1:8" ht="18" customHeight="1" x14ac:dyDescent="0.2">
      <c r="A2" s="318" t="s">
        <v>179</v>
      </c>
      <c r="B2" s="319"/>
      <c r="C2" s="319"/>
      <c r="D2" s="319"/>
      <c r="E2" s="319"/>
      <c r="F2" s="319"/>
      <c r="G2" s="319"/>
      <c r="H2" s="319"/>
    </row>
    <row r="3" spans="1:8" ht="15.75" customHeight="1" x14ac:dyDescent="0.2"/>
    <row r="4" spans="1:8" ht="18" customHeight="1" x14ac:dyDescent="0.2">
      <c r="A4" s="322" t="s">
        <v>180</v>
      </c>
      <c r="B4" s="223"/>
      <c r="C4" s="223"/>
      <c r="D4" s="223"/>
      <c r="E4" s="223"/>
      <c r="F4" s="223"/>
      <c r="G4" s="223"/>
      <c r="H4" s="230"/>
    </row>
    <row r="5" spans="1:8" ht="20.25" customHeight="1" x14ac:dyDescent="0.2">
      <c r="A5" s="297" t="s">
        <v>181</v>
      </c>
      <c r="B5" s="196"/>
      <c r="C5" s="196"/>
      <c r="D5" s="297" t="s">
        <v>182</v>
      </c>
      <c r="E5" s="196"/>
      <c r="F5" s="196"/>
      <c r="G5" s="196"/>
      <c r="H5" s="197"/>
    </row>
    <row r="6" spans="1:8" ht="15" customHeight="1" x14ac:dyDescent="0.2">
      <c r="A6" s="309"/>
      <c r="B6" s="300"/>
      <c r="C6" s="300"/>
      <c r="D6" s="305"/>
      <c r="E6" s="306"/>
      <c r="F6" s="306"/>
      <c r="G6" s="306"/>
      <c r="H6" s="307"/>
    </row>
    <row r="7" spans="1:8" ht="15" customHeight="1" x14ac:dyDescent="0.2">
      <c r="A7" s="288"/>
      <c r="B7" s="289"/>
      <c r="C7" s="289"/>
      <c r="D7" s="288"/>
      <c r="E7" s="289"/>
      <c r="F7" s="289"/>
      <c r="G7" s="289"/>
      <c r="H7" s="290"/>
    </row>
    <row r="8" spans="1:8" ht="15" customHeight="1" x14ac:dyDescent="0.2">
      <c r="A8" s="288"/>
      <c r="B8" s="289"/>
      <c r="C8" s="289"/>
      <c r="D8" s="288"/>
      <c r="E8" s="289"/>
      <c r="F8" s="289"/>
      <c r="G8" s="289"/>
      <c r="H8" s="290"/>
    </row>
    <row r="9" spans="1:8" ht="15" customHeight="1" x14ac:dyDescent="0.2">
      <c r="A9" s="288"/>
      <c r="B9" s="289"/>
      <c r="C9" s="289"/>
      <c r="D9" s="288"/>
      <c r="E9" s="289"/>
      <c r="F9" s="289"/>
      <c r="G9" s="289"/>
      <c r="H9" s="290"/>
    </row>
    <row r="10" spans="1:8" ht="15" customHeight="1" x14ac:dyDescent="0.2">
      <c r="A10" s="291"/>
      <c r="B10" s="292"/>
      <c r="C10" s="292"/>
      <c r="D10" s="291"/>
      <c r="E10" s="292"/>
      <c r="F10" s="292"/>
      <c r="G10" s="292"/>
      <c r="H10" s="293"/>
    </row>
    <row r="11" spans="1:8" ht="20.25" customHeight="1" x14ac:dyDescent="0.2">
      <c r="F11" s="145"/>
      <c r="G11" s="145"/>
    </row>
    <row r="12" spans="1:8" ht="20.25" customHeight="1" thickBot="1" x14ac:dyDescent="0.25">
      <c r="A12" s="313" t="s">
        <v>183</v>
      </c>
      <c r="B12" s="196"/>
      <c r="C12" s="196"/>
      <c r="D12" s="196"/>
      <c r="E12" s="196"/>
      <c r="F12" s="196"/>
      <c r="G12" s="196"/>
      <c r="H12" s="308"/>
    </row>
    <row r="13" spans="1:8" ht="20.25" customHeight="1" thickBot="1" x14ac:dyDescent="0.25">
      <c r="A13" s="297" t="s">
        <v>184</v>
      </c>
      <c r="B13" s="196"/>
      <c r="C13" s="197"/>
      <c r="D13" s="297" t="s">
        <v>185</v>
      </c>
      <c r="E13" s="196"/>
      <c r="F13" s="196"/>
      <c r="G13" s="196"/>
      <c r="H13" s="197"/>
    </row>
    <row r="14" spans="1:8" ht="15" customHeight="1" x14ac:dyDescent="0.2">
      <c r="A14" s="299"/>
      <c r="B14" s="300"/>
      <c r="C14" s="301"/>
      <c r="D14" s="299"/>
      <c r="E14" s="300"/>
      <c r="F14" s="300"/>
      <c r="G14" s="300"/>
      <c r="H14" s="301"/>
    </row>
    <row r="15" spans="1:8" ht="15" customHeight="1" x14ac:dyDescent="0.2">
      <c r="A15" s="288"/>
      <c r="B15" s="289"/>
      <c r="C15" s="290"/>
      <c r="D15" s="288"/>
      <c r="E15" s="289"/>
      <c r="F15" s="289"/>
      <c r="G15" s="289"/>
      <c r="H15" s="290"/>
    </row>
    <row r="16" spans="1:8" ht="15" customHeight="1" x14ac:dyDescent="0.2">
      <c r="A16" s="288"/>
      <c r="B16" s="289"/>
      <c r="C16" s="290"/>
      <c r="D16" s="288"/>
      <c r="E16" s="289"/>
      <c r="F16" s="289"/>
      <c r="G16" s="289"/>
      <c r="H16" s="290"/>
    </row>
    <row r="17" spans="1:8" ht="15" customHeight="1" x14ac:dyDescent="0.2">
      <c r="A17" s="288"/>
      <c r="B17" s="289"/>
      <c r="C17" s="290"/>
      <c r="D17" s="288"/>
      <c r="E17" s="289"/>
      <c r="F17" s="289"/>
      <c r="G17" s="289"/>
      <c r="H17" s="290"/>
    </row>
    <row r="18" spans="1:8" ht="15" customHeight="1" thickBot="1" x14ac:dyDescent="0.25">
      <c r="A18" s="291"/>
      <c r="B18" s="292"/>
      <c r="C18" s="293"/>
      <c r="D18" s="291"/>
      <c r="E18" s="292"/>
      <c r="F18" s="292"/>
      <c r="G18" s="292"/>
      <c r="H18" s="293"/>
    </row>
    <row r="19" spans="1:8" ht="18" customHeight="1" thickBot="1" x14ac:dyDescent="0.25">
      <c r="D19" s="145"/>
      <c r="E19" s="145"/>
      <c r="F19" s="145"/>
      <c r="G19" s="145"/>
    </row>
    <row r="20" spans="1:8" ht="18" customHeight="1" thickBot="1" x14ac:dyDescent="0.25">
      <c r="A20" s="322" t="s">
        <v>114</v>
      </c>
      <c r="B20" s="223"/>
      <c r="C20" s="223"/>
      <c r="D20" s="223"/>
      <c r="E20" s="223"/>
      <c r="F20" s="223"/>
      <c r="G20" s="223"/>
      <c r="H20" s="325"/>
    </row>
    <row r="21" spans="1:8" ht="18" customHeight="1" x14ac:dyDescent="0.2">
      <c r="A21" s="297" t="s">
        <v>115</v>
      </c>
      <c r="B21" s="196"/>
      <c r="C21" s="197"/>
      <c r="D21" s="297" t="s">
        <v>18</v>
      </c>
      <c r="E21" s="196"/>
      <c r="F21" s="196"/>
      <c r="G21" s="196"/>
      <c r="H21" s="197"/>
    </row>
    <row r="22" spans="1:8" ht="15" customHeight="1" x14ac:dyDescent="0.2">
      <c r="A22" s="299"/>
      <c r="B22" s="300"/>
      <c r="C22" s="301"/>
      <c r="D22" s="299"/>
      <c r="E22" s="300"/>
      <c r="F22" s="300"/>
      <c r="G22" s="300"/>
      <c r="H22" s="301"/>
    </row>
    <row r="23" spans="1:8" ht="15" customHeight="1" x14ac:dyDescent="0.2">
      <c r="A23" s="288"/>
      <c r="B23" s="289"/>
      <c r="C23" s="290"/>
      <c r="D23" s="288"/>
      <c r="E23" s="289"/>
      <c r="F23" s="289"/>
      <c r="G23" s="289"/>
      <c r="H23" s="290"/>
    </row>
    <row r="24" spans="1:8" ht="15" customHeight="1" x14ac:dyDescent="0.2">
      <c r="A24" s="288"/>
      <c r="B24" s="289"/>
      <c r="C24" s="290"/>
      <c r="D24" s="288"/>
      <c r="E24" s="289"/>
      <c r="F24" s="289"/>
      <c r="G24" s="289"/>
      <c r="H24" s="290"/>
    </row>
    <row r="25" spans="1:8" ht="15" customHeight="1" x14ac:dyDescent="0.2">
      <c r="A25" s="288"/>
      <c r="B25" s="289"/>
      <c r="C25" s="290"/>
      <c r="D25" s="288"/>
      <c r="E25" s="289"/>
      <c r="F25" s="289"/>
      <c r="G25" s="289"/>
      <c r="H25" s="290"/>
    </row>
    <row r="26" spans="1:8" ht="15" customHeight="1" x14ac:dyDescent="0.2">
      <c r="A26" s="291"/>
      <c r="B26" s="292"/>
      <c r="C26" s="293"/>
      <c r="D26" s="291"/>
      <c r="E26" s="292"/>
      <c r="F26" s="292"/>
      <c r="G26" s="292"/>
      <c r="H26" s="293"/>
    </row>
    <row r="27" spans="1:8" ht="15.75" customHeight="1" thickBot="1" x14ac:dyDescent="0.25"/>
    <row r="28" spans="1:8" ht="20.25" customHeight="1" thickBot="1" x14ac:dyDescent="0.25">
      <c r="A28" s="340" t="s">
        <v>186</v>
      </c>
      <c r="B28" s="341"/>
      <c r="C28" s="341"/>
      <c r="D28" s="341"/>
      <c r="E28" s="341"/>
      <c r="F28" s="341"/>
      <c r="G28" s="341"/>
      <c r="H28" s="342"/>
    </row>
    <row r="29" spans="1:8" ht="16.5" customHeight="1" thickBot="1" x14ac:dyDescent="0.25">
      <c r="A29" s="146" t="s">
        <v>187</v>
      </c>
      <c r="B29" s="315" t="s">
        <v>188</v>
      </c>
      <c r="C29" s="223"/>
      <c r="D29" s="314" t="s">
        <v>189</v>
      </c>
      <c r="E29" s="223"/>
      <c r="F29" s="230"/>
      <c r="G29" s="321" t="s">
        <v>190</v>
      </c>
      <c r="H29" s="230"/>
    </row>
    <row r="30" spans="1:8" ht="15" customHeight="1" x14ac:dyDescent="0.2">
      <c r="A30" s="147">
        <v>1</v>
      </c>
      <c r="B30" s="323"/>
      <c r="C30" s="303"/>
      <c r="D30" s="302"/>
      <c r="E30" s="303"/>
      <c r="F30" s="304"/>
      <c r="G30" s="316"/>
      <c r="H30" s="304"/>
    </row>
    <row r="31" spans="1:8" ht="15" customHeight="1" x14ac:dyDescent="0.2">
      <c r="A31" s="148">
        <v>2</v>
      </c>
      <c r="B31" s="298"/>
      <c r="C31" s="295"/>
      <c r="D31" s="294"/>
      <c r="E31" s="295"/>
      <c r="F31" s="296"/>
      <c r="G31" s="317"/>
      <c r="H31" s="296"/>
    </row>
    <row r="32" spans="1:8" ht="15" customHeight="1" x14ac:dyDescent="0.2">
      <c r="A32" s="148">
        <v>3</v>
      </c>
      <c r="B32" s="298"/>
      <c r="C32" s="295"/>
      <c r="D32" s="294"/>
      <c r="E32" s="295"/>
      <c r="F32" s="296"/>
      <c r="G32" s="317"/>
      <c r="H32" s="296"/>
    </row>
    <row r="33" spans="1:8" ht="15" customHeight="1" x14ac:dyDescent="0.2">
      <c r="A33" s="149">
        <v>4</v>
      </c>
      <c r="B33" s="324"/>
      <c r="C33" s="311"/>
      <c r="D33" s="310"/>
      <c r="E33" s="311"/>
      <c r="F33" s="312"/>
      <c r="G33" s="320"/>
      <c r="H33" s="312"/>
    </row>
  </sheetData>
  <mergeCells count="56">
    <mergeCell ref="A2:H2"/>
    <mergeCell ref="G33:H33"/>
    <mergeCell ref="A9:C9"/>
    <mergeCell ref="A15:C15"/>
    <mergeCell ref="D18:H18"/>
    <mergeCell ref="A24:C24"/>
    <mergeCell ref="D9:H9"/>
    <mergeCell ref="G29:H29"/>
    <mergeCell ref="A4:H4"/>
    <mergeCell ref="B30:C30"/>
    <mergeCell ref="D8:H8"/>
    <mergeCell ref="D25:H25"/>
    <mergeCell ref="D15:H15"/>
    <mergeCell ref="B33:C33"/>
    <mergeCell ref="A20:H20"/>
    <mergeCell ref="D24:H24"/>
    <mergeCell ref="D33:F33"/>
    <mergeCell ref="D17:H17"/>
    <mergeCell ref="A10:C10"/>
    <mergeCell ref="A12:H12"/>
    <mergeCell ref="D7:H7"/>
    <mergeCell ref="A13:C13"/>
    <mergeCell ref="D29:F29"/>
    <mergeCell ref="B29:C29"/>
    <mergeCell ref="D16:H16"/>
    <mergeCell ref="G30:H30"/>
    <mergeCell ref="D31:F31"/>
    <mergeCell ref="G32:H32"/>
    <mergeCell ref="D23:H23"/>
    <mergeCell ref="G31:H31"/>
    <mergeCell ref="B32:C32"/>
    <mergeCell ref="D14:H14"/>
    <mergeCell ref="D6:H6"/>
    <mergeCell ref="A5:C5"/>
    <mergeCell ref="A23:C23"/>
    <mergeCell ref="A8:C8"/>
    <mergeCell ref="A14:C14"/>
    <mergeCell ref="D13:H13"/>
    <mergeCell ref="A17:C17"/>
    <mergeCell ref="A22:C22"/>
    <mergeCell ref="A6:C6"/>
    <mergeCell ref="D5:H5"/>
    <mergeCell ref="A7:C7"/>
    <mergeCell ref="A16:C16"/>
    <mergeCell ref="A25:C25"/>
    <mergeCell ref="D10:H10"/>
    <mergeCell ref="D32:F32"/>
    <mergeCell ref="A18:C18"/>
    <mergeCell ref="A21:C21"/>
    <mergeCell ref="B31:C31"/>
    <mergeCell ref="D22:H22"/>
    <mergeCell ref="A26:C26"/>
    <mergeCell ref="D21:H21"/>
    <mergeCell ref="D30:F30"/>
    <mergeCell ref="D26:H26"/>
    <mergeCell ref="A28:H28"/>
  </mergeCells>
  <printOptions horizontalCentered="1"/>
  <pageMargins left="0.45" right="0.2" top="0.35" bottom="0.37013888888888902" header="0.511811023622047" footer="0.511811023622047"/>
  <pageSetup paperSize="9"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66CC"/>
  </sheetPr>
  <dimension ref="B2:H8"/>
  <sheetViews>
    <sheetView topLeftCell="B1" zoomScale="116" zoomScaleNormal="82" workbookViewId="0">
      <selection activeCell="C6" sqref="C6"/>
    </sheetView>
  </sheetViews>
  <sheetFormatPr baseColWidth="10" defaultColWidth="10.6640625" defaultRowHeight="19" x14ac:dyDescent="0.15"/>
  <cols>
    <col min="1" max="1" width="5.83203125" customWidth="1"/>
    <col min="2" max="2" width="12.83203125" style="150" customWidth="1"/>
    <col min="3" max="3" width="35.83203125" style="346" customWidth="1"/>
    <col min="4" max="8" width="30.83203125" style="140" customWidth="1"/>
  </cols>
  <sheetData>
    <row r="2" spans="2:8" s="151" customFormat="1" ht="20" thickBot="1" x14ac:dyDescent="0.3">
      <c r="B2" s="152"/>
      <c r="C2" s="343"/>
      <c r="D2" s="344" t="s">
        <v>94</v>
      </c>
      <c r="E2" s="344" t="s">
        <v>95</v>
      </c>
      <c r="F2" s="344" t="s">
        <v>96</v>
      </c>
      <c r="G2" s="344" t="s">
        <v>97</v>
      </c>
      <c r="H2" s="345" t="s">
        <v>98</v>
      </c>
    </row>
    <row r="3" spans="2:8" ht="85" x14ac:dyDescent="0.15">
      <c r="B3" s="326" t="s">
        <v>103</v>
      </c>
      <c r="C3" s="347" t="s">
        <v>191</v>
      </c>
      <c r="D3" s="348" t="s">
        <v>192</v>
      </c>
      <c r="E3" s="348" t="s">
        <v>193</v>
      </c>
      <c r="F3" s="349" t="s">
        <v>194</v>
      </c>
      <c r="G3" s="349" t="s">
        <v>195</v>
      </c>
      <c r="H3" s="350" t="s">
        <v>196</v>
      </c>
    </row>
    <row r="4" spans="2:8" ht="103" thickBot="1" x14ac:dyDescent="0.2">
      <c r="B4" s="239"/>
      <c r="C4" s="351" t="s">
        <v>197</v>
      </c>
      <c r="D4" s="352" t="s">
        <v>198</v>
      </c>
      <c r="E4" s="352" t="s">
        <v>199</v>
      </c>
      <c r="F4" s="352" t="s">
        <v>200</v>
      </c>
      <c r="G4" s="352" t="s">
        <v>201</v>
      </c>
      <c r="H4" s="353" t="s">
        <v>202</v>
      </c>
    </row>
    <row r="5" spans="2:8" ht="204" x14ac:dyDescent="0.15">
      <c r="B5" s="326" t="s">
        <v>107</v>
      </c>
      <c r="C5" s="347" t="s">
        <v>203</v>
      </c>
      <c r="D5" s="349" t="s">
        <v>204</v>
      </c>
      <c r="E5" s="349" t="s">
        <v>205</v>
      </c>
      <c r="F5" s="349" t="s">
        <v>206</v>
      </c>
      <c r="G5" s="349" t="s">
        <v>258</v>
      </c>
      <c r="H5" s="350" t="s">
        <v>207</v>
      </c>
    </row>
    <row r="6" spans="2:8" ht="120" thickBot="1" x14ac:dyDescent="0.2">
      <c r="B6" s="239"/>
      <c r="C6" s="354" t="s">
        <v>257</v>
      </c>
      <c r="D6" s="352" t="s">
        <v>255</v>
      </c>
      <c r="E6" s="352" t="s">
        <v>208</v>
      </c>
      <c r="F6" s="352" t="s">
        <v>209</v>
      </c>
      <c r="G6" s="352" t="s">
        <v>253</v>
      </c>
      <c r="H6" s="353" t="s">
        <v>210</v>
      </c>
    </row>
    <row r="7" spans="2:8" ht="85" x14ac:dyDescent="0.15">
      <c r="B7" s="326" t="s">
        <v>110</v>
      </c>
      <c r="C7" s="347" t="s">
        <v>211</v>
      </c>
      <c r="D7" s="349" t="s">
        <v>260</v>
      </c>
      <c r="E7" s="349" t="s">
        <v>212</v>
      </c>
      <c r="F7" s="349" t="s">
        <v>213</v>
      </c>
      <c r="G7" s="349" t="s">
        <v>254</v>
      </c>
      <c r="H7" s="350" t="s">
        <v>259</v>
      </c>
    </row>
    <row r="8" spans="2:8" ht="171" thickBot="1" x14ac:dyDescent="0.2">
      <c r="B8" s="239"/>
      <c r="C8" s="354" t="s">
        <v>214</v>
      </c>
      <c r="D8" s="352" t="s">
        <v>256</v>
      </c>
      <c r="E8" s="352" t="s">
        <v>215</v>
      </c>
      <c r="F8" s="352" t="s">
        <v>216</v>
      </c>
      <c r="G8" s="352" t="s">
        <v>217</v>
      </c>
      <c r="H8" s="353" t="s">
        <v>218</v>
      </c>
    </row>
  </sheetData>
  <mergeCells count="3">
    <mergeCell ref="B7:B8"/>
    <mergeCell ref="B5:B6"/>
    <mergeCell ref="B3:B4"/>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66CC"/>
    <pageSetUpPr fitToPage="1"/>
  </sheetPr>
  <dimension ref="A1:C13"/>
  <sheetViews>
    <sheetView zoomScale="114" zoomScaleNormal="114" workbookViewId="0">
      <selection activeCell="A11" sqref="A11:A13"/>
    </sheetView>
  </sheetViews>
  <sheetFormatPr baseColWidth="10" defaultColWidth="8.83203125" defaultRowHeight="13" x14ac:dyDescent="0.15"/>
  <cols>
    <col min="1" max="1" width="20.1640625" customWidth="1"/>
    <col min="2" max="2" width="40.5" customWidth="1"/>
    <col min="3" max="3" width="37.33203125" customWidth="1"/>
  </cols>
  <sheetData>
    <row r="1" spans="1:3" ht="15.75" customHeight="1" x14ac:dyDescent="0.15">
      <c r="A1" s="107"/>
      <c r="B1" s="505" t="s">
        <v>52</v>
      </c>
      <c r="C1" s="506" t="s">
        <v>219</v>
      </c>
    </row>
    <row r="2" spans="1:3" ht="16.5" customHeight="1" x14ac:dyDescent="0.15">
      <c r="A2" s="507" t="s">
        <v>34</v>
      </c>
      <c r="B2" s="508" t="s">
        <v>279</v>
      </c>
      <c r="C2" s="153" t="s">
        <v>56</v>
      </c>
    </row>
    <row r="3" spans="1:3" ht="16.5" customHeight="1" x14ac:dyDescent="0.15">
      <c r="A3" s="401"/>
      <c r="B3" s="508" t="s">
        <v>280</v>
      </c>
      <c r="C3" s="153" t="s">
        <v>60</v>
      </c>
    </row>
    <row r="4" spans="1:3" ht="18" customHeight="1" x14ac:dyDescent="0.15">
      <c r="A4" s="401"/>
      <c r="B4" s="508" t="s">
        <v>281</v>
      </c>
      <c r="C4" s="153" t="s">
        <v>68</v>
      </c>
    </row>
    <row r="5" spans="1:3" ht="15" customHeight="1" x14ac:dyDescent="0.15">
      <c r="A5" s="507" t="s">
        <v>37</v>
      </c>
      <c r="B5" s="509" t="s">
        <v>282</v>
      </c>
      <c r="C5" s="510" t="s">
        <v>73</v>
      </c>
    </row>
    <row r="6" spans="1:3" ht="15" customHeight="1" x14ac:dyDescent="0.15">
      <c r="A6" s="401"/>
      <c r="B6" s="509" t="s">
        <v>283</v>
      </c>
      <c r="C6" s="510" t="s">
        <v>76</v>
      </c>
    </row>
    <row r="7" spans="1:3" ht="15.75" customHeight="1" x14ac:dyDescent="0.15">
      <c r="A7" s="401"/>
      <c r="B7" s="509" t="s">
        <v>284</v>
      </c>
      <c r="C7" s="510" t="s">
        <v>79</v>
      </c>
    </row>
    <row r="8" spans="1:3" ht="15" customHeight="1" x14ac:dyDescent="0.15">
      <c r="A8" s="507" t="s">
        <v>40</v>
      </c>
      <c r="B8" s="511" t="s">
        <v>285</v>
      </c>
      <c r="C8" s="512" t="s">
        <v>88</v>
      </c>
    </row>
    <row r="9" spans="1:3" ht="15" customHeight="1" x14ac:dyDescent="0.15">
      <c r="A9" s="401"/>
      <c r="B9" s="511" t="s">
        <v>286</v>
      </c>
      <c r="C9" s="512" t="s">
        <v>89</v>
      </c>
    </row>
    <row r="10" spans="1:3" ht="15.75" customHeight="1" x14ac:dyDescent="0.15">
      <c r="A10" s="401"/>
      <c r="B10" s="511" t="s">
        <v>287</v>
      </c>
      <c r="C10" s="512" t="s">
        <v>92</v>
      </c>
    </row>
    <row r="11" spans="1:3" ht="16.5" customHeight="1" x14ac:dyDescent="0.15">
      <c r="A11" s="507" t="s">
        <v>84</v>
      </c>
      <c r="B11" s="513" t="s">
        <v>286</v>
      </c>
      <c r="C11" s="82" t="s">
        <v>89</v>
      </c>
    </row>
    <row r="12" spans="1:3" ht="16.5" customHeight="1" x14ac:dyDescent="0.15">
      <c r="A12" s="401"/>
      <c r="B12" s="513" t="s">
        <v>287</v>
      </c>
      <c r="C12" s="82" t="s">
        <v>92</v>
      </c>
    </row>
    <row r="13" spans="1:3" ht="16.5" customHeight="1" x14ac:dyDescent="0.15">
      <c r="A13" s="401"/>
      <c r="B13" s="513" t="s">
        <v>288</v>
      </c>
      <c r="C13" s="82" t="s">
        <v>105</v>
      </c>
    </row>
  </sheetData>
  <mergeCells count="4">
    <mergeCell ref="A11:A13"/>
    <mergeCell ref="A5:A7"/>
    <mergeCell ref="A2:A4"/>
    <mergeCell ref="A8:A10"/>
  </mergeCells>
  <pageMargins left="0.7" right="0.7" top="0.75" bottom="0.75" header="0.511811023622047" footer="0.511811023622047"/>
  <pageSetup paperSize="9"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66CC"/>
  </sheetPr>
  <dimension ref="A1:C29"/>
  <sheetViews>
    <sheetView zoomScale="112" zoomScaleNormal="81" workbookViewId="0">
      <selection activeCell="C19" sqref="C19"/>
    </sheetView>
  </sheetViews>
  <sheetFormatPr baseColWidth="10" defaultColWidth="58.6640625" defaultRowHeight="30.75" customHeight="1" x14ac:dyDescent="0.15"/>
  <cols>
    <col min="1" max="1" width="46" style="154" customWidth="1"/>
    <col min="2" max="2" width="25.5" style="155" customWidth="1"/>
    <col min="3" max="3" width="61.83203125" style="156" customWidth="1"/>
    <col min="4" max="252" width="58.6640625" style="157" customWidth="1"/>
    <col min="253" max="253" width="46" style="157" customWidth="1"/>
    <col min="254" max="254" width="25.5" style="157" customWidth="1"/>
    <col min="255" max="255" width="61.83203125" style="157" customWidth="1"/>
    <col min="256" max="508" width="58.6640625" style="157" customWidth="1"/>
    <col min="509" max="509" width="46" style="157" customWidth="1"/>
    <col min="510" max="510" width="25.5" style="157" customWidth="1"/>
    <col min="511" max="511" width="61.83203125" style="157" customWidth="1"/>
    <col min="512" max="764" width="58.6640625" style="157" customWidth="1"/>
    <col min="765" max="765" width="46" style="157" customWidth="1"/>
    <col min="766" max="766" width="25.5" style="157" customWidth="1"/>
    <col min="767" max="767" width="61.83203125" style="157" customWidth="1"/>
    <col min="768" max="1020" width="58.6640625" style="157" customWidth="1"/>
    <col min="1021" max="1021" width="46" style="157" customWidth="1"/>
    <col min="1022" max="1022" width="25.5" style="157" customWidth="1"/>
    <col min="1023" max="1023" width="61.83203125" style="157" customWidth="1"/>
    <col min="1024" max="1276" width="58.6640625" style="157" customWidth="1"/>
    <col min="1277" max="1277" width="46" style="157" customWidth="1"/>
    <col min="1278" max="1278" width="25.5" style="157" customWidth="1"/>
    <col min="1279" max="1279" width="61.83203125" style="157" customWidth="1"/>
    <col min="1280" max="1532" width="58.6640625" style="157" customWidth="1"/>
    <col min="1533" max="1533" width="46" style="157" customWidth="1"/>
    <col min="1534" max="1534" width="25.5" style="157" customWidth="1"/>
    <col min="1535" max="1535" width="61.83203125" style="157" customWidth="1"/>
    <col min="1536" max="1788" width="58.6640625" style="157" customWidth="1"/>
    <col min="1789" max="1789" width="46" style="157" customWidth="1"/>
    <col min="1790" max="1790" width="25.5" style="157" customWidth="1"/>
    <col min="1791" max="1791" width="61.83203125" style="157" customWidth="1"/>
    <col min="1792" max="2044" width="58.6640625" style="157" customWidth="1"/>
    <col min="2045" max="2045" width="46" style="157" customWidth="1"/>
    <col min="2046" max="2046" width="25.5" style="157" customWidth="1"/>
    <col min="2047" max="2047" width="61.83203125" style="157" customWidth="1"/>
    <col min="2048" max="2300" width="58.6640625" style="157" customWidth="1"/>
    <col min="2301" max="2301" width="46" style="157" customWidth="1"/>
    <col min="2302" max="2302" width="25.5" style="157" customWidth="1"/>
    <col min="2303" max="2303" width="61.83203125" style="157" customWidth="1"/>
    <col min="2304" max="2556" width="58.6640625" style="157" customWidth="1"/>
    <col min="2557" max="2557" width="46" style="157" customWidth="1"/>
    <col min="2558" max="2558" width="25.5" style="157" customWidth="1"/>
    <col min="2559" max="2559" width="61.83203125" style="157" customWidth="1"/>
    <col min="2560" max="2812" width="58.6640625" style="157" customWidth="1"/>
    <col min="2813" max="2813" width="46" style="157" customWidth="1"/>
    <col min="2814" max="2814" width="25.5" style="157" customWidth="1"/>
    <col min="2815" max="2815" width="61.83203125" style="157" customWidth="1"/>
    <col min="2816" max="3068" width="58.6640625" style="157" customWidth="1"/>
    <col min="3069" max="3069" width="46" style="157" customWidth="1"/>
    <col min="3070" max="3070" width="25.5" style="157" customWidth="1"/>
    <col min="3071" max="3071" width="61.83203125" style="157" customWidth="1"/>
    <col min="3072" max="3324" width="58.6640625" style="157" customWidth="1"/>
    <col min="3325" max="3325" width="46" style="157" customWidth="1"/>
    <col min="3326" max="3326" width="25.5" style="157" customWidth="1"/>
    <col min="3327" max="3327" width="61.83203125" style="157" customWidth="1"/>
    <col min="3328" max="3580" width="58.6640625" style="157" customWidth="1"/>
    <col min="3581" max="3581" width="46" style="157" customWidth="1"/>
    <col min="3582" max="3582" width="25.5" style="157" customWidth="1"/>
    <col min="3583" max="3583" width="61.83203125" style="157" customWidth="1"/>
    <col min="3584" max="3836" width="58.6640625" style="157" customWidth="1"/>
    <col min="3837" max="3837" width="46" style="157" customWidth="1"/>
    <col min="3838" max="3838" width="25.5" style="157" customWidth="1"/>
    <col min="3839" max="3839" width="61.83203125" style="157" customWidth="1"/>
    <col min="3840" max="4092" width="58.6640625" style="157" customWidth="1"/>
    <col min="4093" max="4093" width="46" style="157" customWidth="1"/>
    <col min="4094" max="4094" width="25.5" style="157" customWidth="1"/>
    <col min="4095" max="4095" width="61.83203125" style="157" customWidth="1"/>
    <col min="4096" max="4348" width="58.6640625" style="157" customWidth="1"/>
    <col min="4349" max="4349" width="46" style="157" customWidth="1"/>
    <col min="4350" max="4350" width="25.5" style="157" customWidth="1"/>
    <col min="4351" max="4351" width="61.83203125" style="157" customWidth="1"/>
    <col min="4352" max="4604" width="58.6640625" style="157" customWidth="1"/>
    <col min="4605" max="4605" width="46" style="157" customWidth="1"/>
    <col min="4606" max="4606" width="25.5" style="157" customWidth="1"/>
    <col min="4607" max="4607" width="61.83203125" style="157" customWidth="1"/>
    <col min="4608" max="4860" width="58.6640625" style="157" customWidth="1"/>
    <col min="4861" max="4861" width="46" style="157" customWidth="1"/>
    <col min="4862" max="4862" width="25.5" style="157" customWidth="1"/>
    <col min="4863" max="4863" width="61.83203125" style="157" customWidth="1"/>
    <col min="4864" max="5116" width="58.6640625" style="157" customWidth="1"/>
    <col min="5117" max="5117" width="46" style="157" customWidth="1"/>
    <col min="5118" max="5118" width="25.5" style="157" customWidth="1"/>
    <col min="5119" max="5119" width="61.83203125" style="157" customWidth="1"/>
    <col min="5120" max="5372" width="58.6640625" style="157" customWidth="1"/>
    <col min="5373" max="5373" width="46" style="157" customWidth="1"/>
    <col min="5374" max="5374" width="25.5" style="157" customWidth="1"/>
    <col min="5375" max="5375" width="61.83203125" style="157" customWidth="1"/>
    <col min="5376" max="5628" width="58.6640625" style="157" customWidth="1"/>
    <col min="5629" max="5629" width="46" style="157" customWidth="1"/>
    <col min="5630" max="5630" width="25.5" style="157" customWidth="1"/>
    <col min="5631" max="5631" width="61.83203125" style="157" customWidth="1"/>
    <col min="5632" max="5884" width="58.6640625" style="157" customWidth="1"/>
    <col min="5885" max="5885" width="46" style="157" customWidth="1"/>
    <col min="5886" max="5886" width="25.5" style="157" customWidth="1"/>
    <col min="5887" max="5887" width="61.83203125" style="157" customWidth="1"/>
    <col min="5888" max="6140" width="58.6640625" style="157" customWidth="1"/>
    <col min="6141" max="6141" width="46" style="157" customWidth="1"/>
    <col min="6142" max="6142" width="25.5" style="157" customWidth="1"/>
    <col min="6143" max="6143" width="61.83203125" style="157" customWidth="1"/>
    <col min="6144" max="6396" width="58.6640625" style="157" customWidth="1"/>
    <col min="6397" max="6397" width="46" style="157" customWidth="1"/>
    <col min="6398" max="6398" width="25.5" style="157" customWidth="1"/>
    <col min="6399" max="6399" width="61.83203125" style="157" customWidth="1"/>
    <col min="6400" max="6652" width="58.6640625" style="157" customWidth="1"/>
    <col min="6653" max="6653" width="46" style="157" customWidth="1"/>
    <col min="6654" max="6654" width="25.5" style="157" customWidth="1"/>
    <col min="6655" max="6655" width="61.83203125" style="157" customWidth="1"/>
    <col min="6656" max="6908" width="58.6640625" style="157" customWidth="1"/>
    <col min="6909" max="6909" width="46" style="157" customWidth="1"/>
    <col min="6910" max="6910" width="25.5" style="157" customWidth="1"/>
    <col min="6911" max="6911" width="61.83203125" style="157" customWidth="1"/>
    <col min="6912" max="7164" width="58.6640625" style="157" customWidth="1"/>
    <col min="7165" max="7165" width="46" style="157" customWidth="1"/>
    <col min="7166" max="7166" width="25.5" style="157" customWidth="1"/>
    <col min="7167" max="7167" width="61.83203125" style="157" customWidth="1"/>
    <col min="7168" max="7420" width="58.6640625" style="157" customWidth="1"/>
    <col min="7421" max="7421" width="46" style="157" customWidth="1"/>
    <col min="7422" max="7422" width="25.5" style="157" customWidth="1"/>
    <col min="7423" max="7423" width="61.83203125" style="157" customWidth="1"/>
    <col min="7424" max="7676" width="58.6640625" style="157" customWidth="1"/>
    <col min="7677" max="7677" width="46" style="157" customWidth="1"/>
    <col min="7678" max="7678" width="25.5" style="157" customWidth="1"/>
    <col min="7679" max="7679" width="61.83203125" style="157" customWidth="1"/>
    <col min="7680" max="7932" width="58.6640625" style="157" customWidth="1"/>
    <col min="7933" max="7933" width="46" style="157" customWidth="1"/>
    <col min="7934" max="7934" width="25.5" style="157" customWidth="1"/>
    <col min="7935" max="7935" width="61.83203125" style="157" customWidth="1"/>
    <col min="7936" max="8188" width="58.6640625" style="157" customWidth="1"/>
    <col min="8189" max="8189" width="46" style="157" customWidth="1"/>
    <col min="8190" max="8190" width="25.5" style="157" customWidth="1"/>
    <col min="8191" max="8191" width="61.83203125" style="157" customWidth="1"/>
    <col min="8192" max="8444" width="58.6640625" style="157" customWidth="1"/>
    <col min="8445" max="8445" width="46" style="157" customWidth="1"/>
    <col min="8446" max="8446" width="25.5" style="157" customWidth="1"/>
    <col min="8447" max="8447" width="61.83203125" style="157" customWidth="1"/>
    <col min="8448" max="8700" width="58.6640625" style="157" customWidth="1"/>
    <col min="8701" max="8701" width="46" style="157" customWidth="1"/>
    <col min="8702" max="8702" width="25.5" style="157" customWidth="1"/>
    <col min="8703" max="8703" width="61.83203125" style="157" customWidth="1"/>
    <col min="8704" max="8956" width="58.6640625" style="157" customWidth="1"/>
    <col min="8957" max="8957" width="46" style="157" customWidth="1"/>
    <col min="8958" max="8958" width="25.5" style="157" customWidth="1"/>
    <col min="8959" max="8959" width="61.83203125" style="157" customWidth="1"/>
    <col min="8960" max="9212" width="58.6640625" style="157" customWidth="1"/>
    <col min="9213" max="9213" width="46" style="157" customWidth="1"/>
    <col min="9214" max="9214" width="25.5" style="157" customWidth="1"/>
    <col min="9215" max="9215" width="61.83203125" style="157" customWidth="1"/>
    <col min="9216" max="9468" width="58.6640625" style="157" customWidth="1"/>
    <col min="9469" max="9469" width="46" style="157" customWidth="1"/>
    <col min="9470" max="9470" width="25.5" style="157" customWidth="1"/>
    <col min="9471" max="9471" width="61.83203125" style="157" customWidth="1"/>
    <col min="9472" max="9724" width="58.6640625" style="157" customWidth="1"/>
    <col min="9725" max="9725" width="46" style="157" customWidth="1"/>
    <col min="9726" max="9726" width="25.5" style="157" customWidth="1"/>
    <col min="9727" max="9727" width="61.83203125" style="157" customWidth="1"/>
    <col min="9728" max="9980" width="58.6640625" style="157" customWidth="1"/>
    <col min="9981" max="9981" width="46" style="157" customWidth="1"/>
    <col min="9982" max="9982" width="25.5" style="157" customWidth="1"/>
    <col min="9983" max="9983" width="61.83203125" style="157" customWidth="1"/>
    <col min="9984" max="10236" width="58.6640625" style="157" customWidth="1"/>
    <col min="10237" max="10237" width="46" style="157" customWidth="1"/>
    <col min="10238" max="10238" width="25.5" style="157" customWidth="1"/>
    <col min="10239" max="10239" width="61.83203125" style="157" customWidth="1"/>
    <col min="10240" max="10492" width="58.6640625" style="157" customWidth="1"/>
    <col min="10493" max="10493" width="46" style="157" customWidth="1"/>
    <col min="10494" max="10494" width="25.5" style="157" customWidth="1"/>
    <col min="10495" max="10495" width="61.83203125" style="157" customWidth="1"/>
    <col min="10496" max="10748" width="58.6640625" style="157" customWidth="1"/>
    <col min="10749" max="10749" width="46" style="157" customWidth="1"/>
    <col min="10750" max="10750" width="25.5" style="157" customWidth="1"/>
    <col min="10751" max="10751" width="61.83203125" style="157" customWidth="1"/>
    <col min="10752" max="11004" width="58.6640625" style="157" customWidth="1"/>
    <col min="11005" max="11005" width="46" style="157" customWidth="1"/>
    <col min="11006" max="11006" width="25.5" style="157" customWidth="1"/>
    <col min="11007" max="11007" width="61.83203125" style="157" customWidth="1"/>
    <col min="11008" max="11260" width="58.6640625" style="157" customWidth="1"/>
    <col min="11261" max="11261" width="46" style="157" customWidth="1"/>
    <col min="11262" max="11262" width="25.5" style="157" customWidth="1"/>
    <col min="11263" max="11263" width="61.83203125" style="157" customWidth="1"/>
    <col min="11264" max="11516" width="58.6640625" style="157" customWidth="1"/>
    <col min="11517" max="11517" width="46" style="157" customWidth="1"/>
    <col min="11518" max="11518" width="25.5" style="157" customWidth="1"/>
    <col min="11519" max="11519" width="61.83203125" style="157" customWidth="1"/>
    <col min="11520" max="11772" width="58.6640625" style="157" customWidth="1"/>
    <col min="11773" max="11773" width="46" style="157" customWidth="1"/>
    <col min="11774" max="11774" width="25.5" style="157" customWidth="1"/>
    <col min="11775" max="11775" width="61.83203125" style="157" customWidth="1"/>
    <col min="11776" max="12028" width="58.6640625" style="157" customWidth="1"/>
    <col min="12029" max="12029" width="46" style="157" customWidth="1"/>
    <col min="12030" max="12030" width="25.5" style="157" customWidth="1"/>
    <col min="12031" max="12031" width="61.83203125" style="157" customWidth="1"/>
    <col min="12032" max="12284" width="58.6640625" style="157" customWidth="1"/>
    <col min="12285" max="12285" width="46" style="157" customWidth="1"/>
    <col min="12286" max="12286" width="25.5" style="157" customWidth="1"/>
    <col min="12287" max="12287" width="61.83203125" style="157" customWidth="1"/>
    <col min="12288" max="12540" width="58.6640625" style="157" customWidth="1"/>
    <col min="12541" max="12541" width="46" style="157" customWidth="1"/>
    <col min="12542" max="12542" width="25.5" style="157" customWidth="1"/>
    <col min="12543" max="12543" width="61.83203125" style="157" customWidth="1"/>
    <col min="12544" max="12796" width="58.6640625" style="157" customWidth="1"/>
    <col min="12797" max="12797" width="46" style="157" customWidth="1"/>
    <col min="12798" max="12798" width="25.5" style="157" customWidth="1"/>
    <col min="12799" max="12799" width="61.83203125" style="157" customWidth="1"/>
    <col min="12800" max="13052" width="58.6640625" style="157" customWidth="1"/>
    <col min="13053" max="13053" width="46" style="157" customWidth="1"/>
    <col min="13054" max="13054" width="25.5" style="157" customWidth="1"/>
    <col min="13055" max="13055" width="61.83203125" style="157" customWidth="1"/>
    <col min="13056" max="13308" width="58.6640625" style="157" customWidth="1"/>
    <col min="13309" max="13309" width="46" style="157" customWidth="1"/>
    <col min="13310" max="13310" width="25.5" style="157" customWidth="1"/>
    <col min="13311" max="13311" width="61.83203125" style="157" customWidth="1"/>
    <col min="13312" max="13564" width="58.6640625" style="157" customWidth="1"/>
    <col min="13565" max="13565" width="46" style="157" customWidth="1"/>
    <col min="13566" max="13566" width="25.5" style="157" customWidth="1"/>
    <col min="13567" max="13567" width="61.83203125" style="157" customWidth="1"/>
    <col min="13568" max="13820" width="58.6640625" style="157" customWidth="1"/>
    <col min="13821" max="13821" width="46" style="157" customWidth="1"/>
    <col min="13822" max="13822" width="25.5" style="157" customWidth="1"/>
    <col min="13823" max="13823" width="61.83203125" style="157" customWidth="1"/>
    <col min="13824" max="14076" width="58.6640625" style="157" customWidth="1"/>
    <col min="14077" max="14077" width="46" style="157" customWidth="1"/>
    <col min="14078" max="14078" width="25.5" style="157" customWidth="1"/>
    <col min="14079" max="14079" width="61.83203125" style="157" customWidth="1"/>
    <col min="14080" max="14332" width="58.6640625" style="157" customWidth="1"/>
    <col min="14333" max="14333" width="46" style="157" customWidth="1"/>
    <col min="14334" max="14334" width="25.5" style="157" customWidth="1"/>
    <col min="14335" max="14335" width="61.83203125" style="157" customWidth="1"/>
    <col min="14336" max="14588" width="58.6640625" style="157" customWidth="1"/>
    <col min="14589" max="14589" width="46" style="157" customWidth="1"/>
    <col min="14590" max="14590" width="25.5" style="157" customWidth="1"/>
    <col min="14591" max="14591" width="61.83203125" style="157" customWidth="1"/>
    <col min="14592" max="14844" width="58.6640625" style="157" customWidth="1"/>
    <col min="14845" max="14845" width="46" style="157" customWidth="1"/>
    <col min="14846" max="14846" width="25.5" style="157" customWidth="1"/>
    <col min="14847" max="14847" width="61.83203125" style="157" customWidth="1"/>
    <col min="14848" max="15100" width="58.6640625" style="157" customWidth="1"/>
    <col min="15101" max="15101" width="46" style="157" customWidth="1"/>
    <col min="15102" max="15102" width="25.5" style="157" customWidth="1"/>
    <col min="15103" max="15103" width="61.83203125" style="157" customWidth="1"/>
    <col min="15104" max="15356" width="58.6640625" style="157" customWidth="1"/>
    <col min="15357" max="15357" width="46" style="157" customWidth="1"/>
    <col min="15358" max="15358" width="25.5" style="157" customWidth="1"/>
    <col min="15359" max="15359" width="61.83203125" style="157" customWidth="1"/>
    <col min="15360" max="15612" width="58.6640625" style="157" customWidth="1"/>
    <col min="15613" max="15613" width="46" style="157" customWidth="1"/>
    <col min="15614" max="15614" width="25.5" style="157" customWidth="1"/>
    <col min="15615" max="15615" width="61.83203125" style="157" customWidth="1"/>
    <col min="15616" max="15868" width="58.6640625" style="157" customWidth="1"/>
    <col min="15869" max="15869" width="46" style="157" customWidth="1"/>
    <col min="15870" max="15870" width="25.5" style="157" customWidth="1"/>
    <col min="15871" max="15871" width="61.83203125" style="157" customWidth="1"/>
    <col min="15872" max="16124" width="58.6640625" style="157" customWidth="1"/>
    <col min="16125" max="16125" width="46" style="157" customWidth="1"/>
    <col min="16126" max="16126" width="25.5" style="157" customWidth="1"/>
    <col min="16127" max="16127" width="61.83203125" style="157" customWidth="1"/>
    <col min="16128" max="16384" width="58.6640625" style="157" customWidth="1"/>
  </cols>
  <sheetData>
    <row r="1" spans="1:3" ht="30.75" customHeight="1" x14ac:dyDescent="0.15">
      <c r="A1" s="158"/>
      <c r="B1" s="158"/>
      <c r="C1" s="158"/>
    </row>
    <row r="2" spans="1:3" ht="42.75" customHeight="1" x14ac:dyDescent="0.15">
      <c r="A2" s="514" t="s">
        <v>55</v>
      </c>
      <c r="B2" s="515" t="s">
        <v>55</v>
      </c>
      <c r="C2" s="516" t="s">
        <v>220</v>
      </c>
    </row>
    <row r="3" spans="1:3" ht="45" customHeight="1" x14ac:dyDescent="0.15">
      <c r="A3" s="514" t="s">
        <v>59</v>
      </c>
      <c r="B3" s="515" t="s">
        <v>59</v>
      </c>
      <c r="C3" s="516" t="s">
        <v>221</v>
      </c>
    </row>
    <row r="4" spans="1:3" ht="25.5" customHeight="1" x14ac:dyDescent="0.15">
      <c r="A4" s="514" t="s">
        <v>67</v>
      </c>
      <c r="B4" s="517" t="s">
        <v>67</v>
      </c>
      <c r="C4" s="518" t="s">
        <v>222</v>
      </c>
    </row>
    <row r="5" spans="1:3" ht="51" customHeight="1" x14ac:dyDescent="0.15">
      <c r="A5" s="514" t="s">
        <v>71</v>
      </c>
      <c r="B5" s="515" t="s">
        <v>71</v>
      </c>
      <c r="C5" s="516" t="s">
        <v>223</v>
      </c>
    </row>
    <row r="6" spans="1:3" ht="33.75" customHeight="1" x14ac:dyDescent="0.15">
      <c r="A6" s="514" t="s">
        <v>72</v>
      </c>
      <c r="B6" s="515" t="s">
        <v>72</v>
      </c>
      <c r="C6" s="516" t="s">
        <v>224</v>
      </c>
    </row>
    <row r="7" spans="1:3" ht="33.75" customHeight="1" x14ac:dyDescent="0.15">
      <c r="A7" s="514" t="s">
        <v>56</v>
      </c>
      <c r="B7" s="517" t="s">
        <v>56</v>
      </c>
      <c r="C7" s="518" t="s">
        <v>225</v>
      </c>
    </row>
    <row r="8" spans="1:3" ht="51" customHeight="1" x14ac:dyDescent="0.15">
      <c r="A8" s="514" t="s">
        <v>60</v>
      </c>
      <c r="B8" s="515" t="s">
        <v>60</v>
      </c>
      <c r="C8" s="516" t="s">
        <v>226</v>
      </c>
    </row>
    <row r="9" spans="1:3" ht="51" customHeight="1" x14ac:dyDescent="0.15">
      <c r="A9" s="514" t="s">
        <v>73</v>
      </c>
      <c r="B9" s="515" t="s">
        <v>73</v>
      </c>
      <c r="C9" s="516" t="s">
        <v>227</v>
      </c>
    </row>
    <row r="10" spans="1:3" ht="33.75" customHeight="1" x14ac:dyDescent="0.15">
      <c r="A10" s="514" t="s">
        <v>76</v>
      </c>
      <c r="B10" s="517" t="s">
        <v>76</v>
      </c>
      <c r="C10" s="518" t="s">
        <v>228</v>
      </c>
    </row>
    <row r="11" spans="1:3" ht="42.75" customHeight="1" x14ac:dyDescent="0.15">
      <c r="A11" s="514" t="s">
        <v>79</v>
      </c>
      <c r="B11" s="517" t="s">
        <v>79</v>
      </c>
      <c r="C11" s="518" t="s">
        <v>229</v>
      </c>
    </row>
    <row r="12" spans="1:3" ht="51" customHeight="1" x14ac:dyDescent="0.15">
      <c r="A12" s="514" t="s">
        <v>88</v>
      </c>
      <c r="B12" s="515" t="s">
        <v>88</v>
      </c>
      <c r="C12" s="516" t="s">
        <v>230</v>
      </c>
    </row>
    <row r="13" spans="1:3" ht="33.75" customHeight="1" x14ac:dyDescent="0.15">
      <c r="A13" s="514" t="s">
        <v>89</v>
      </c>
      <c r="B13" s="517" t="s">
        <v>89</v>
      </c>
      <c r="C13" s="518" t="s">
        <v>231</v>
      </c>
    </row>
    <row r="14" spans="1:3" ht="54.75" customHeight="1" x14ac:dyDescent="0.15">
      <c r="A14" s="514" t="s">
        <v>232</v>
      </c>
      <c r="B14" s="515" t="s">
        <v>232</v>
      </c>
      <c r="C14" s="516" t="s">
        <v>233</v>
      </c>
    </row>
    <row r="15" spans="1:3" ht="30.75" customHeight="1" x14ac:dyDescent="0.15">
      <c r="A15" s="514" t="s">
        <v>234</v>
      </c>
      <c r="B15" s="515" t="s">
        <v>234</v>
      </c>
      <c r="C15" s="516" t="s">
        <v>235</v>
      </c>
    </row>
    <row r="16" spans="1:3" ht="30.75" customHeight="1" x14ac:dyDescent="0.15">
      <c r="A16" s="514" t="s">
        <v>236</v>
      </c>
      <c r="B16" s="517" t="s">
        <v>236</v>
      </c>
      <c r="C16" s="518" t="s">
        <v>237</v>
      </c>
    </row>
    <row r="17" spans="1:3" ht="30.75" customHeight="1" x14ac:dyDescent="0.15">
      <c r="A17" s="514" t="s">
        <v>238</v>
      </c>
      <c r="B17" s="517" t="s">
        <v>238</v>
      </c>
      <c r="C17" s="518" t="s">
        <v>239</v>
      </c>
    </row>
    <row r="18" spans="1:3" ht="30.75" customHeight="1" x14ac:dyDescent="0.15">
      <c r="A18" s="514" t="s">
        <v>240</v>
      </c>
      <c r="B18" s="515" t="s">
        <v>240</v>
      </c>
      <c r="C18" s="516" t="s">
        <v>241</v>
      </c>
    </row>
    <row r="19" spans="1:3" ht="30.75" customHeight="1" x14ac:dyDescent="0.15">
      <c r="A19" s="514" t="s">
        <v>242</v>
      </c>
      <c r="B19" s="515" t="s">
        <v>242</v>
      </c>
      <c r="C19" s="516" t="s">
        <v>243</v>
      </c>
    </row>
    <row r="20" spans="1:3" ht="30.75" customHeight="1" x14ac:dyDescent="0.15">
      <c r="A20" s="514" t="s">
        <v>92</v>
      </c>
      <c r="B20" s="515" t="s">
        <v>92</v>
      </c>
      <c r="C20" s="516" t="s">
        <v>244</v>
      </c>
    </row>
    <row r="21" spans="1:3" ht="30.75" customHeight="1" x14ac:dyDescent="0.15">
      <c r="A21" s="514" t="s">
        <v>245</v>
      </c>
      <c r="B21" s="515" t="s">
        <v>245</v>
      </c>
      <c r="C21" s="516" t="s">
        <v>246</v>
      </c>
    </row>
    <row r="22" spans="1:3" ht="30.75" customHeight="1" x14ac:dyDescent="0.15">
      <c r="A22" s="514" t="s">
        <v>247</v>
      </c>
      <c r="B22" s="515" t="s">
        <v>247</v>
      </c>
      <c r="C22" s="516" t="s">
        <v>248</v>
      </c>
    </row>
    <row r="23" spans="1:3" ht="30.75" customHeight="1" x14ac:dyDescent="0.15">
      <c r="A23" s="514" t="s">
        <v>105</v>
      </c>
      <c r="B23" s="515" t="s">
        <v>105</v>
      </c>
      <c r="C23" s="516" t="s">
        <v>249</v>
      </c>
    </row>
    <row r="24" spans="1:3" ht="30.75" customHeight="1" x14ac:dyDescent="0.15">
      <c r="A24" s="514" t="s">
        <v>250</v>
      </c>
      <c r="B24" s="515" t="s">
        <v>251</v>
      </c>
      <c r="C24" s="516" t="s">
        <v>251</v>
      </c>
    </row>
    <row r="25" spans="1:3" ht="30.75" customHeight="1" x14ac:dyDescent="0.15">
      <c r="A25" s="157"/>
      <c r="B25" s="157"/>
      <c r="C25" s="157"/>
    </row>
    <row r="26" spans="1:3" ht="30.75" customHeight="1" x14ac:dyDescent="0.15">
      <c r="A26" s="157"/>
      <c r="B26" s="157"/>
      <c r="C26" s="157"/>
    </row>
    <row r="27" spans="1:3" ht="30.75" customHeight="1" x14ac:dyDescent="0.15">
      <c r="A27" s="157"/>
      <c r="B27" s="157"/>
      <c r="C27" s="157"/>
    </row>
    <row r="28" spans="1:3" ht="30.75" customHeight="1" x14ac:dyDescent="0.15">
      <c r="A28" s="157"/>
      <c r="B28" s="157"/>
      <c r="C28" s="157"/>
    </row>
    <row r="29" spans="1:3" ht="30.75" customHeight="1" x14ac:dyDescent="0.15">
      <c r="A29" s="157"/>
      <c r="B29" s="157"/>
      <c r="C29" s="157"/>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صفحة الغلاف</vt:lpstr>
      <vt:lpstr>تحديد الأهداف</vt:lpstr>
      <vt:lpstr>مراجعة الأداء</vt:lpstr>
      <vt:lpstr>درجات خطة التعاقب</vt:lpstr>
      <vt:lpstr>تخطيط التعاقب الوظيفي</vt:lpstr>
      <vt:lpstr>خطة التطوير</vt:lpstr>
      <vt:lpstr>تعريف المهارات الرئيسية</vt:lpstr>
      <vt:lpstr>المهارات الوظيفية</vt:lpstr>
      <vt:lpstr>مكتبة المهارات</vt:lpstr>
      <vt:lpstr>Department</vt:lpstr>
      <vt:lpstr>'تخطيط التعاقب الوظيفي'!Print_Area</vt:lpstr>
      <vt:lpstr>'صفحة الغلاف'!Print_Area</vt:lpstr>
      <vt:lpstr>'مراجعة الأداء'!Print_Area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ahmed.samir</dc:creator>
  <cp:lastModifiedBy>Yara Rashad</cp:lastModifiedBy>
  <cp:revision>0</cp:revision>
  <cp:lastPrinted>2023-08-23T09:22:23Z</cp:lastPrinted>
  <dcterms:created xsi:type="dcterms:W3CDTF">2007-04-17T11:17:13Z</dcterms:created>
  <dcterms:modified xsi:type="dcterms:W3CDTF">2026-07-24T18:01:06Z</dcterms:modified>
  <dc:language>en-US</dc:language>
</cp:coreProperties>
</file>