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heets/sheet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6"/>
  <workbookPr codeName="ThisWorkbook" defaultThemeVersion="124226"/>
  <mc:AlternateContent xmlns:mc="http://schemas.openxmlformats.org/markup-compatibility/2006">
    <mc:Choice Requires="x15">
      <x15ac:absPath xmlns:x15ac="http://schemas.microsoft.com/office/spreadsheetml/2010/11/ac" url="/Users/yaraessam/Desktop/KarmSolar Workspace/Performance Management System/2026/"/>
    </mc:Choice>
  </mc:AlternateContent>
  <xr:revisionPtr revIDLastSave="0" documentId="13_ncr:1_{A63FC286-2660-AC4C-965D-0E1E5C881605}" xr6:coauthVersionLast="47" xr6:coauthVersionMax="47" xr10:uidLastSave="{00000000-0000-0000-0000-000000000000}"/>
  <bookViews>
    <workbookView xWindow="0" yWindow="720" windowWidth="29400" windowHeight="18400" tabRatio="938" xr2:uid="{00000000-000D-0000-FFFF-FFFF00000000}"/>
  </bookViews>
  <sheets>
    <sheet name="Cover Page" sheetId="1" r:id="rId1"/>
    <sheet name="Objectives Setting" sheetId="2" r:id="rId2"/>
    <sheet name="Performance Review" sheetId="3" r:id="rId3"/>
    <sheet name="Sucession Plan Score" sheetId="25" state="hidden" r:id="rId4"/>
    <sheet name="Sheet1" sheetId="24" state="hidden" r:id="rId5"/>
    <sheet name="Succession Planning" sheetId="26" r:id="rId6"/>
    <sheet name="Development Plan" sheetId="4" r:id="rId7"/>
    <sheet name="Core Competencies Def." sheetId="27" r:id="rId8"/>
    <sheet name="Competencies" sheetId="21" r:id="rId9"/>
    <sheet name="Performance Profile" sheetId="20" state="hidden" r:id="rId10"/>
    <sheet name="Core Competencies Graph" sheetId="14" state="hidden" r:id="rId11"/>
  </sheets>
  <definedNames>
    <definedName name="Competencies">#REF!</definedName>
    <definedName name="Department">'Cover Page'!$AO$6:$AO$11</definedName>
    <definedName name="_xlnm.Print_Area" localSheetId="0">'Cover Page'!$A$1:$N$33</definedName>
    <definedName name="_xlnm.Print_Area" localSheetId="2">'Performance Review'!$A$1:$N$42</definedName>
    <definedName name="_xlnm.Print_Area" localSheetId="5">'Succession Planning'!$A$4:$AA$27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3" l="1"/>
  <c r="B9" i="3"/>
  <c r="B10" i="3"/>
  <c r="B11" i="3"/>
  <c r="B7" i="3"/>
  <c r="E10" i="3"/>
  <c r="B27" i="2" l="1"/>
  <c r="C27" i="2" s="1"/>
  <c r="M33" i="3" l="1"/>
  <c r="L24" i="3"/>
  <c r="L25" i="3"/>
  <c r="L26" i="3"/>
  <c r="L27" i="3"/>
  <c r="L28" i="3"/>
  <c r="L23" i="3"/>
  <c r="M20" i="2"/>
  <c r="I24" i="3"/>
  <c r="I25" i="3"/>
  <c r="I26" i="3"/>
  <c r="I27" i="3"/>
  <c r="I28" i="3"/>
  <c r="I23" i="3"/>
  <c r="D25" i="3"/>
  <c r="D26" i="3"/>
  <c r="D27" i="3"/>
  <c r="D28" i="3"/>
  <c r="D24" i="3"/>
  <c r="D23" i="3"/>
  <c r="M24" i="2"/>
  <c r="M22" i="2"/>
  <c r="M35" i="3" l="1"/>
  <c r="J8" i="3" l="1"/>
  <c r="M8" i="3" s="1"/>
  <c r="J9" i="3"/>
  <c r="M9" i="3" s="1"/>
  <c r="J10" i="3"/>
  <c r="M10" i="3" s="1"/>
  <c r="J11" i="3"/>
  <c r="M11" i="3" s="1"/>
  <c r="J12" i="3"/>
  <c r="M12" i="3" s="1"/>
  <c r="J14" i="3"/>
  <c r="E14" i="3"/>
  <c r="J7" i="3"/>
  <c r="E7" i="3"/>
  <c r="M17" i="3"/>
  <c r="E8" i="3"/>
  <c r="E9" i="3"/>
  <c r="E11" i="3"/>
  <c r="U7" i="3" l="1"/>
  <c r="B14" i="3"/>
  <c r="C8" i="20"/>
  <c r="D6" i="20"/>
  <c r="M14" i="3"/>
  <c r="C6" i="20"/>
  <c r="F40" i="2"/>
  <c r="F42" i="2"/>
  <c r="A42" i="2"/>
  <c r="A40" i="2"/>
  <c r="A6" i="20" s="1"/>
  <c r="B21" i="2"/>
  <c r="B22" i="2"/>
  <c r="B23" i="2"/>
  <c r="B24" i="2"/>
  <c r="H27" i="3" s="1"/>
  <c r="L31" i="3"/>
  <c r="L32" i="3"/>
  <c r="L30" i="3"/>
  <c r="B28" i="2"/>
  <c r="C28" i="2" s="1"/>
  <c r="B29" i="2"/>
  <c r="B20" i="2"/>
  <c r="H25" i="3"/>
  <c r="B25" i="3"/>
  <c r="J11" i="2" l="1" a="1"/>
  <c r="J11" i="2" s="1"/>
  <c r="E12" i="3" s="1"/>
  <c r="C11" i="2" a="1"/>
  <c r="C11" i="2" s="1"/>
  <c r="B12" i="3" s="1"/>
  <c r="J12" i="2" a="1"/>
  <c r="J12" i="2" s="1"/>
  <c r="E13" i="3" s="1"/>
  <c r="L12" i="2"/>
  <c r="B23" i="3"/>
  <c r="C12" i="2" a="1"/>
  <c r="C12" i="2" s="1"/>
  <c r="B13" i="3" s="1"/>
  <c r="C29" i="2"/>
  <c r="B32" i="3" s="1"/>
  <c r="I29" i="2"/>
  <c r="H32" i="3" s="1"/>
  <c r="I28" i="2"/>
  <c r="H31" i="3" s="1"/>
  <c r="B31" i="3"/>
  <c r="I27" i="2"/>
  <c r="H30" i="3" s="1"/>
  <c r="B30" i="3"/>
  <c r="C20" i="20"/>
  <c r="C22" i="20" s="1"/>
  <c r="C23" i="2"/>
  <c r="B6" i="20"/>
  <c r="A8" i="20"/>
  <c r="B8" i="20"/>
  <c r="H23" i="3"/>
  <c r="B27" i="3"/>
  <c r="L13" i="2" l="1"/>
  <c r="M13" i="2" s="1"/>
  <c r="J13" i="3"/>
  <c r="M13" i="3" s="1"/>
  <c r="M7" i="3"/>
  <c r="M15" i="3" l="1"/>
  <c r="M34" i="3" s="1"/>
  <c r="M16" i="3" l="1"/>
  <c r="Q1" i="25" s="1" a="1"/>
  <c r="Q1" i="25" s="1"/>
  <c r="D20" i="20"/>
  <c r="D22" i="20" s="1"/>
  <c r="B20" i="20"/>
  <c r="B22" i="20" s="1"/>
  <c r="M36" i="3" l="1"/>
  <c r="D46" i="26" s="1"/>
  <c r="G46" i="26" s="1"/>
  <c r="J46" i="26" s="1"/>
  <c r="D52" i="26" s="1"/>
  <c r="G52" i="26" s="1"/>
  <c r="J52" i="26" s="1"/>
  <c r="D59" i="26" s="1"/>
  <c r="G59" i="26" s="1"/>
  <c r="J59" i="2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<sst xmlns="http://schemas.openxmlformats.org/spreadsheetml/2006/main" count="689" uniqueCount="360">
  <si>
    <t>Employee Name</t>
  </si>
  <si>
    <t>Direct Manager</t>
  </si>
  <si>
    <t>Position</t>
  </si>
  <si>
    <t xml:space="preserve">Date of Hire </t>
  </si>
  <si>
    <t>Objective(s)</t>
  </si>
  <si>
    <t>Measure</t>
  </si>
  <si>
    <t>Weight</t>
  </si>
  <si>
    <t>Total Weight</t>
  </si>
  <si>
    <t>Signature</t>
  </si>
  <si>
    <t>Date</t>
  </si>
  <si>
    <t>Based on the agreed objectives from the last appraisal, the manager and employee should make an informed and objective evaluation of the performance against each objective.</t>
  </si>
  <si>
    <t>Objectives</t>
  </si>
  <si>
    <t>Score</t>
  </si>
  <si>
    <t>Actual Rating</t>
  </si>
  <si>
    <t>Required Rating</t>
  </si>
  <si>
    <t>Results Orientation</t>
  </si>
  <si>
    <t>Customer Focus</t>
  </si>
  <si>
    <t>CAREER PLANNING</t>
  </si>
  <si>
    <t>Short Term</t>
  </si>
  <si>
    <t>Long Term</t>
  </si>
  <si>
    <t>LEARNING &amp; DEVELOPMENT PLAN</t>
  </si>
  <si>
    <t>Action</t>
  </si>
  <si>
    <t xml:space="preserve">ADDITIONAL COMMENTS </t>
  </si>
  <si>
    <t>EMPLOYEE</t>
  </si>
  <si>
    <t>DIRECT MANAGER</t>
  </si>
  <si>
    <t xml:space="preserve">Number </t>
  </si>
  <si>
    <t>Training Course</t>
  </si>
  <si>
    <t xml:space="preserve">TRAINING &amp; DEVELOPMENT SECTION </t>
  </si>
  <si>
    <t>Review Date</t>
  </si>
  <si>
    <t>To</t>
  </si>
  <si>
    <t xml:space="preserve">From </t>
  </si>
  <si>
    <t>Department</t>
  </si>
  <si>
    <t>Date of Hire</t>
  </si>
  <si>
    <t>General Information</t>
  </si>
  <si>
    <t>Senior Manager</t>
  </si>
  <si>
    <t>Rating</t>
  </si>
  <si>
    <t>Date of Last Review</t>
  </si>
  <si>
    <t xml:space="preserve"> Average Competencies Rating</t>
  </si>
  <si>
    <t>Institute  or Source</t>
  </si>
  <si>
    <t>Preferred Date</t>
  </si>
  <si>
    <t>Due Date</t>
  </si>
  <si>
    <t>Top Management</t>
  </si>
  <si>
    <t>Creativity &amp; Innovation</t>
  </si>
  <si>
    <t>Problem Solving</t>
  </si>
  <si>
    <t>Approachability</t>
  </si>
  <si>
    <t>Compliance Management</t>
  </si>
  <si>
    <t>Technical Passion &amp; Drive</t>
  </si>
  <si>
    <t>Last Review Objectives Score</t>
  </si>
  <si>
    <t>S</t>
  </si>
  <si>
    <t>Employee</t>
  </si>
  <si>
    <t>Communication Skills</t>
  </si>
  <si>
    <t>التطوير الشخصى</t>
  </si>
  <si>
    <t>Initiative</t>
  </si>
  <si>
    <t>المبادرة</t>
  </si>
  <si>
    <t>Leadership</t>
  </si>
  <si>
    <t>Reporting</t>
  </si>
  <si>
    <t>This section establishes the objectives and commintments for the next 12 months, The manager and the employee should keep a copy of this page to refer to throughout the year.</t>
  </si>
  <si>
    <t>القدرة على حل المشاكل</t>
  </si>
  <si>
    <t>المعرفة التامة بمنتجات الشركة</t>
  </si>
  <si>
    <t>Delegation &amp; People Management</t>
  </si>
  <si>
    <t xml:space="preserve">Performance Management Sheet
</t>
  </si>
  <si>
    <t>Total Evaluation Score</t>
  </si>
  <si>
    <t>Wt Score</t>
  </si>
  <si>
    <r>
      <t xml:space="preserve">Improvement Area's </t>
    </r>
    <r>
      <rPr>
        <b/>
        <i/>
        <sz val="11"/>
        <rFont val="Gill Sans MT"/>
        <family val="2"/>
      </rPr>
      <t>(if any)</t>
    </r>
    <r>
      <rPr>
        <b/>
        <sz val="11"/>
        <rFont val="Gill Sans MT"/>
        <family val="2"/>
      </rPr>
      <t xml:space="preserve"> </t>
    </r>
  </si>
  <si>
    <t>Total Evaluation</t>
  </si>
  <si>
    <t>DEVELOPMENT PLAN</t>
  </si>
  <si>
    <t>PERFORMANCE REVIEW</t>
  </si>
  <si>
    <t>المهارات الفنية</t>
  </si>
  <si>
    <t>KEY OBJECTIVES SETTING</t>
  </si>
  <si>
    <t>Last Period</t>
  </si>
  <si>
    <t>Total</t>
  </si>
  <si>
    <t>Job Family</t>
  </si>
  <si>
    <t>المهارات رئيسية للوظيفية</t>
  </si>
  <si>
    <t>المهارات ثانوية للوظيفية</t>
  </si>
  <si>
    <t>Budgeting &amp; Forcasting</t>
  </si>
  <si>
    <t>Competencies Scale Definition</t>
  </si>
  <si>
    <t>Direct Supervisor</t>
  </si>
  <si>
    <t>Ratings</t>
  </si>
  <si>
    <t>5 Exceptional</t>
  </si>
  <si>
    <t>4 Above Expectations</t>
  </si>
  <si>
    <t>3 Meets</t>
  </si>
  <si>
    <t>2 Needs Improvement</t>
  </si>
  <si>
    <t>1 Unsatisfactory</t>
  </si>
  <si>
    <t>Cosistently exceeds set Targets</t>
  </si>
  <si>
    <t>Always meets and sometimes exceeds set targets</t>
  </si>
  <si>
    <t>Sometimes meets expectations</t>
  </si>
  <si>
    <t>Requires development to achieve the set targets</t>
  </si>
  <si>
    <t>Unsatisfactory achievements of the set targets</t>
  </si>
  <si>
    <t>Less than 2</t>
  </si>
  <si>
    <t>2-2.9</t>
  </si>
  <si>
    <t>3-3.9</t>
  </si>
  <si>
    <t>4-4.9</t>
  </si>
  <si>
    <t>Competency Rating Guide</t>
  </si>
  <si>
    <t>Review Focus</t>
  </si>
  <si>
    <t>Actual Score</t>
  </si>
  <si>
    <t>Average Competencies</t>
  </si>
  <si>
    <t>Performance Analysis</t>
  </si>
  <si>
    <t>Performance Profile</t>
  </si>
  <si>
    <t>Total KPIs</t>
  </si>
  <si>
    <t>Continuous Learning &amp; Self Development</t>
  </si>
  <si>
    <t>Middle Management</t>
  </si>
  <si>
    <t>Staff</t>
  </si>
  <si>
    <t>COMPETENCIES</t>
  </si>
  <si>
    <t>Accuracy &amp; Attention to Detail</t>
  </si>
  <si>
    <t>الدقة والاهتمام بالتفاصيل</t>
  </si>
  <si>
    <t>Measures the ability to pay attention to details, minimize errors, keep tasks clear and on schedule to ensure error-free results</t>
  </si>
  <si>
    <t>Analysis &amp; Pattern Recognition</t>
  </si>
  <si>
    <t>التحليل والتعرف على الأنماط</t>
  </si>
  <si>
    <t>Measures the ability to gather &amp; examine information, facts, and data, identify a pattern, generalize from specifics, itegrate discrete data into coherent whole</t>
  </si>
  <si>
    <t>القدرة على الاستماع والتقرب من الآخرين بسهولة</t>
  </si>
  <si>
    <t>Measures the ability to approach others in a warm and friendly manner, builds rapport well, a good listener</t>
  </si>
  <si>
    <t>القدرة على التواصل</t>
  </si>
  <si>
    <t>Measures the ability to communicate with peers/ subordinates/ clients/ managers… and reach constructive results</t>
  </si>
  <si>
    <t>الالتزام بالنظم والقوانين</t>
  </si>
  <si>
    <t>Measures the ability to establish and apply guidelines, policies and procedures in order to ensure consistency and allow for improvement</t>
  </si>
  <si>
    <t>Continuous Improvement</t>
  </si>
  <si>
    <t>التطوير المستمر</t>
  </si>
  <si>
    <t>Measures how the manager deals with opportunities of improvement/ how many times through the period the manager proposed and implemented change or development in processes</t>
  </si>
  <si>
    <t>Measures the willingness and the steps taken for self development</t>
  </si>
  <si>
    <t>Contribution to Other Functions Development</t>
  </si>
  <si>
    <t>المساهمة فى تطوير الإدارات الأخرى</t>
  </si>
  <si>
    <t>Measures how much the manager contributes to the improvement and development of other functions/ Inter-departmental cooperation</t>
  </si>
  <si>
    <t>القدرة على الإبداع والابتكار</t>
  </si>
  <si>
    <t>Measure the ability of an employee to generate new ideas and develop existing ones into workable solutions, and also the ability to develop or improves existing systems</t>
  </si>
  <si>
    <t>الاهتمام بالعميل</t>
  </si>
  <si>
    <t>Measures the ability to meet and/or exceed customer expectations, operate with customer interest in mind, gain customer trust and loyalty</t>
  </si>
  <si>
    <t>تطوير وتفويض وتحفيز العاملين</t>
  </si>
  <si>
    <t>Measures how the manager deals with second line managers: delegation, motivation, turn over rate, training,…</t>
  </si>
  <si>
    <t>General Appearance</t>
  </si>
  <si>
    <t>المظهر العام</t>
  </si>
  <si>
    <t>Measures how professional the employees looks, general appearance</t>
  </si>
  <si>
    <t>Measures the ability to be proactive, take appropriate action without being asked, work with minimum directions, take responsibility</t>
  </si>
  <si>
    <t>القدرات القيادية</t>
  </si>
  <si>
    <t>Measures the ability to lead/ solve problems/ resolve conflicts/ take decisisons</t>
  </si>
  <si>
    <t>Negotiation Skills</t>
  </si>
  <si>
    <t>المهارات التفاوضية</t>
  </si>
  <si>
    <t>Measures the ability to negotiate skillfully in tough situations both internally and externally, reach accpetable results, without damaging relationships</t>
  </si>
  <si>
    <t>Networking</t>
  </si>
  <si>
    <t>القدرة على تكوين شبكة اتصالات</t>
  </si>
  <si>
    <t>Measures the ability to see and capture opportunities, build networks of formal and informal relationships, have a good business sense</t>
  </si>
  <si>
    <t>Measures the ability to organize and analyze information, identify solutions, and implement the most appropriate</t>
  </si>
  <si>
    <t>Product Knoweledge</t>
  </si>
  <si>
    <t>Measures employee knoweldge of all product details, and completing product training requested</t>
  </si>
  <si>
    <t>أصدار التقارير فى الوقت المناسب بالكفاءة المطلوبة</t>
  </si>
  <si>
    <t>Reporting on time</t>
  </si>
  <si>
    <t>الاهتمام بالنتائج</t>
  </si>
  <si>
    <t>Measures the ability to set/ achieve clear goals and objectives, follows up on tasks until completed, takes responsibility to resolve issues that may threaten delivery</t>
  </si>
  <si>
    <t>Strategic Thinking &amp; Decision Making</t>
  </si>
  <si>
    <t>التخطيط الاستراتيجى واتخاذ القرار</t>
  </si>
  <si>
    <t>Measures the ability to see ahead clearly with a future business outlook, anticipate future conesquences and trends, be future oriented, picture the organization as a whole and the relationship among various parts</t>
  </si>
  <si>
    <t>Teamwork</t>
  </si>
  <si>
    <t>العمل الجماعى</t>
  </si>
  <si>
    <t>Measures the ability to work  well within a team, communicate efficiently both in writing and verbally, leverages knowledge, listens carefully, helps resolve team conflicts, and cooperate</t>
  </si>
  <si>
    <t>Measures the ability to learn, integrate and use new work-related knowledge and expertise to reach maximum potential for self development</t>
  </si>
  <si>
    <t>Core</t>
  </si>
  <si>
    <t>Financial Management</t>
  </si>
  <si>
    <t>Company</t>
  </si>
  <si>
    <t>HR &amp; Admin</t>
  </si>
  <si>
    <t>CEO Office</t>
  </si>
  <si>
    <t>HSE</t>
  </si>
  <si>
    <t>Management</t>
  </si>
  <si>
    <t>Technical Office</t>
  </si>
  <si>
    <t>Procurment</t>
  </si>
  <si>
    <t>Distribution</t>
  </si>
  <si>
    <t>Legal Affairs</t>
  </si>
  <si>
    <t>Core Competency</t>
  </si>
  <si>
    <t>Functional Competency</t>
  </si>
  <si>
    <t>Core Competencies</t>
  </si>
  <si>
    <t>Functional Competencies</t>
  </si>
  <si>
    <t>#</t>
  </si>
  <si>
    <t>DEFINITION</t>
  </si>
  <si>
    <t>Blue Collar - Lead</t>
  </si>
  <si>
    <t>Blue Collar - both</t>
  </si>
  <si>
    <t>Blue Collar - Tech</t>
  </si>
  <si>
    <t>Blue Collar - Technicians</t>
  </si>
  <si>
    <t xml:space="preserve"> </t>
  </si>
  <si>
    <t>Bonus Payment</t>
  </si>
  <si>
    <t>80% - 89%</t>
  </si>
  <si>
    <t>&lt;=60%</t>
  </si>
  <si>
    <t>Comments</t>
  </si>
  <si>
    <t>61%-79%</t>
  </si>
  <si>
    <t>80%-89%</t>
  </si>
  <si>
    <t>90%-94%</t>
  </si>
  <si>
    <t>&gt;=95</t>
  </si>
  <si>
    <t xml:space="preserve">GENERAL ADDITIONAL COMMENTS </t>
  </si>
  <si>
    <t>&gt;100%</t>
  </si>
  <si>
    <t>PDR</t>
  </si>
  <si>
    <t>90% - 100%</t>
  </si>
  <si>
    <t>70% - 79%</t>
  </si>
  <si>
    <t>60% - 69%</t>
  </si>
  <si>
    <t>50% - 59%</t>
  </si>
  <si>
    <t>&lt;=49%</t>
  </si>
  <si>
    <t xml:space="preserve">Potential </t>
  </si>
  <si>
    <t>Performance</t>
  </si>
  <si>
    <t>9 Box Grid</t>
  </si>
  <si>
    <t>Low</t>
  </si>
  <si>
    <t>High</t>
  </si>
  <si>
    <t>Top Talent</t>
  </si>
  <si>
    <t>Medium</t>
  </si>
  <si>
    <t>High Potential</t>
  </si>
  <si>
    <t>High Performer</t>
  </si>
  <si>
    <t>Core Player</t>
  </si>
  <si>
    <t>Solid Performer</t>
  </si>
  <si>
    <t>Average Performer</t>
  </si>
  <si>
    <t>Action Plan</t>
  </si>
  <si>
    <t>Potential / Comptencies</t>
  </si>
  <si>
    <t>4 - 5</t>
  </si>
  <si>
    <t xml:space="preserve">Potential / Comptencies </t>
  </si>
  <si>
    <t xml:space="preserve">High Potential
</t>
  </si>
  <si>
    <t>3 - 3.9</t>
  </si>
  <si>
    <t xml:space="preserve">Core Player
</t>
  </si>
  <si>
    <r>
      <t xml:space="preserve">High Performer
</t>
    </r>
    <r>
      <rPr>
        <sz val="20"/>
        <color theme="1"/>
        <rFont val="Calibri"/>
        <family val="2"/>
        <scheme val="minor"/>
      </rPr>
      <t>1-2 Years to Next step</t>
    </r>
  </si>
  <si>
    <t>2 -2.9</t>
  </si>
  <si>
    <t>60 % - 79%</t>
  </si>
  <si>
    <t>90% - Above</t>
  </si>
  <si>
    <t xml:space="preserve">Performance </t>
  </si>
  <si>
    <t>Description</t>
  </si>
  <si>
    <r>
      <rPr>
        <b/>
        <sz val="11"/>
        <color theme="1"/>
        <rFont val="Calibri"/>
        <family val="2"/>
        <scheme val="minor"/>
      </rPr>
      <t>Top Talent</t>
    </r>
    <r>
      <rPr>
        <b/>
        <sz val="9"/>
        <color theme="1"/>
        <rFont val="Calibri"/>
        <family val="2"/>
        <scheme val="minor"/>
      </rPr>
      <t xml:space="preserve">
</t>
    </r>
    <r>
      <rPr>
        <sz val="20"/>
        <color theme="1"/>
        <rFont val="Calibri"/>
        <family val="2"/>
        <scheme val="minor"/>
      </rPr>
      <t>Ready Now</t>
    </r>
  </si>
  <si>
    <r>
      <t xml:space="preserve">High Potential
</t>
    </r>
    <r>
      <rPr>
        <sz val="8"/>
        <color theme="1"/>
        <rFont val="Calibri"/>
        <family val="2"/>
        <scheme val="minor"/>
      </rPr>
      <t xml:space="preserve">-High Potential/ Medium Performance
-Goals are frequently met and potential is demonstrated in new and challengingg situations.
-Role model in current function
-Consistently delivers extraordinary results
</t>
    </r>
  </si>
  <si>
    <r>
      <t xml:space="preserve">Potential Star
</t>
    </r>
    <r>
      <rPr>
        <sz val="8"/>
        <color theme="1"/>
        <rFont val="Calibri"/>
        <family val="2"/>
        <scheme val="minor"/>
      </rPr>
      <t xml:space="preserve">-High Potential/ Low Performer
-Role model in their current function
-Inconsistent Performance and expectations are not yet fully being met.
</t>
    </r>
  </si>
  <si>
    <r>
      <t xml:space="preserve">Average Performer
</t>
    </r>
    <r>
      <rPr>
        <sz val="9"/>
        <rFont val="Calibri"/>
        <family val="2"/>
        <scheme val="minor"/>
      </rPr>
      <t>-Training &amp; Improvement Plan
-Check performance every Month for 6 Month to 1 year
-No Improvement - Exit Plan</t>
    </r>
  </si>
  <si>
    <r>
      <t xml:space="preserve">Solid Performer
</t>
    </r>
    <r>
      <rPr>
        <sz val="9"/>
        <color theme="1"/>
        <rFont val="Calibri"/>
        <family val="2"/>
        <scheme val="minor"/>
      </rPr>
      <t xml:space="preserve">-Communicate you expectation
-Monitor Performance for a year 
-No Improvement- Exit Plan      </t>
    </r>
    <r>
      <rPr>
        <b/>
        <sz val="9"/>
        <color theme="1"/>
        <rFont val="Calibri"/>
        <family val="2"/>
        <scheme val="minor"/>
      </rPr>
      <t xml:space="preserve">           </t>
    </r>
  </si>
  <si>
    <r>
      <t xml:space="preserve">Average Performer
</t>
    </r>
    <r>
      <rPr>
        <sz val="8"/>
        <color theme="1"/>
        <rFont val="Calibri"/>
        <family val="2"/>
        <scheme val="minor"/>
      </rPr>
      <t xml:space="preserve">-Low Potential/Low Performance
-Good fit for current role and consistently provide value, but may lack interest to move to a higher position.
</t>
    </r>
  </si>
  <si>
    <r>
      <t xml:space="preserve">Core Player
</t>
    </r>
    <r>
      <rPr>
        <sz val="8"/>
        <color theme="1"/>
        <rFont val="Calibri"/>
        <family val="2"/>
        <scheme val="minor"/>
      </rPr>
      <t xml:space="preserve">-Medium Potential/ Medium Performance
-Meets performance expectations and there is high potential for increased responsibilities. Adapt quickly to change.
-Capable of growing into a more complex role 
-May be promotable outside of current
level </t>
    </r>
  </si>
  <si>
    <r>
      <t xml:space="preserve">Potential Performer
</t>
    </r>
    <r>
      <rPr>
        <sz val="8"/>
        <color theme="1"/>
        <rFont val="Calibri"/>
        <family val="2"/>
        <scheme val="minor"/>
      </rPr>
      <t xml:space="preserve">-Medium Potential/ Low Performance 
-Still new in current role and not yet performing all duties
-Expectations are not being met yet
-Performance is not consistent or declining </t>
    </r>
  </si>
  <si>
    <r>
      <t xml:space="preserve">Under Performer
</t>
    </r>
    <r>
      <rPr>
        <sz val="8"/>
        <color theme="1"/>
        <rFont val="Calibri"/>
        <family val="2"/>
        <scheme val="minor"/>
      </rPr>
      <t xml:space="preserve">-Low Performance/ Low Potential
-Does not meet/partially meets performance expectations
-May not be a fit for current role
</t>
    </r>
  </si>
  <si>
    <r>
      <t xml:space="preserve">Solid Performer
</t>
    </r>
    <r>
      <rPr>
        <sz val="8"/>
        <color theme="1"/>
        <rFont val="Calibri"/>
        <family val="2"/>
        <scheme val="minor"/>
      </rPr>
      <t xml:space="preserve">-Low Potential/ High Performance
-Provide significant value in current role but not likely to move to a higher level.    </t>
    </r>
    <r>
      <rPr>
        <b/>
        <sz val="11"/>
        <color theme="1"/>
        <rFont val="Calibri"/>
        <family val="2"/>
        <scheme val="minor"/>
      </rPr>
      <t xml:space="preserve">           </t>
    </r>
  </si>
  <si>
    <r>
      <t xml:space="preserve">High Performer
</t>
    </r>
    <r>
      <rPr>
        <sz val="8"/>
        <color theme="1"/>
        <rFont val="Calibri"/>
        <family val="2"/>
        <scheme val="minor"/>
      </rPr>
      <t>-Medium Potential/ High Performance 
-Strong Performer and consistently meeting or exceeding expectations. Has capability to grow into a more complex role.</t>
    </r>
  </si>
  <si>
    <r>
      <rPr>
        <b/>
        <sz val="11"/>
        <color theme="1"/>
        <rFont val="Calibri"/>
        <family val="2"/>
        <scheme val="minor"/>
      </rPr>
      <t>Top Talent</t>
    </r>
    <r>
      <rPr>
        <b/>
        <sz val="9"/>
        <color theme="1"/>
        <rFont val="Calibri"/>
        <family val="2"/>
        <scheme val="minor"/>
      </rPr>
      <t xml:space="preserve">
</t>
    </r>
    <r>
      <rPr>
        <sz val="8"/>
        <color theme="1"/>
        <rFont val="Calibri"/>
        <family val="2"/>
        <scheme val="minor"/>
      </rPr>
      <t xml:space="preserve">- High Potential/ High Performance
-Exceeds or Outstanding performance
-Role Model across the organization
-Promotable now
</t>
    </r>
  </si>
  <si>
    <r>
      <t xml:space="preserve">Potential Star
</t>
    </r>
    <r>
      <rPr>
        <sz val="8"/>
        <rFont val="Calibri"/>
        <family val="2"/>
        <scheme val="minor"/>
      </rPr>
      <t>-Communicate your expectation
-Monitor Performance for a year 
-No Improvement- Exit Plan</t>
    </r>
  </si>
  <si>
    <t>Sucession Planning Status</t>
  </si>
  <si>
    <t>9 Box Grid- Succession Planning</t>
  </si>
  <si>
    <t>Record</t>
  </si>
  <si>
    <t>Performance Status</t>
  </si>
  <si>
    <t>Potential Status</t>
  </si>
  <si>
    <r>
      <t xml:space="preserve">Under Performer
</t>
    </r>
    <r>
      <rPr>
        <sz val="8"/>
        <color theme="1"/>
        <rFont val="Calibri"/>
        <family val="2"/>
        <scheme val="minor"/>
      </rPr>
      <t xml:space="preserve">
Exit Plan</t>
    </r>
  </si>
  <si>
    <r>
      <t xml:space="preserve">Potential Performer
</t>
    </r>
    <r>
      <rPr>
        <sz val="8"/>
        <rFont val="Calibri"/>
        <family val="2"/>
        <scheme val="minor"/>
      </rPr>
      <t>-Training &amp; Improvement Plan
-Check performance every Month for 6 Month to 1 year
-No Improvement - Exit Plan</t>
    </r>
    <r>
      <rPr>
        <sz val="10"/>
        <rFont val="Arial"/>
        <family val="2"/>
      </rPr>
      <t xml:space="preserve">
</t>
    </r>
  </si>
  <si>
    <t>Potential Star</t>
  </si>
  <si>
    <t>Potential Performer</t>
  </si>
  <si>
    <t>Under Performer</t>
  </si>
  <si>
    <t>Knowledge</t>
  </si>
  <si>
    <t>Attitude</t>
  </si>
  <si>
    <t>Feedback</t>
  </si>
  <si>
    <t>Accountability</t>
  </si>
  <si>
    <t>Respect</t>
  </si>
  <si>
    <t>Country</t>
  </si>
  <si>
    <t>UK</t>
  </si>
  <si>
    <t>Egypt</t>
  </si>
  <si>
    <t>NL</t>
  </si>
  <si>
    <t>Cyprus</t>
  </si>
  <si>
    <t>Tunisia</t>
  </si>
  <si>
    <t>UAE</t>
  </si>
  <si>
    <t>Finance</t>
  </si>
  <si>
    <t>O&amp;M Office</t>
  </si>
  <si>
    <t>Investment</t>
  </si>
  <si>
    <t>Compliance</t>
  </si>
  <si>
    <t>Digital Transformation</t>
  </si>
  <si>
    <t>Operations</t>
  </si>
  <si>
    <t xml:space="preserve">Al Karm for Buildings </t>
  </si>
  <si>
    <t>Al Karm for Selling &amp; Distribution Electricity</t>
  </si>
  <si>
    <t>Sahl Hasheesh for Solar Energy</t>
  </si>
  <si>
    <t>Mars for Electricity &amp; Distribution</t>
  </si>
  <si>
    <t>Saturn</t>
  </si>
  <si>
    <t>Mercury for Selling and Distributing Electricity</t>
  </si>
  <si>
    <t>Venus for Selling and Distributing Electricity</t>
  </si>
  <si>
    <t>Andromeda Solar Works</t>
  </si>
  <si>
    <t>Jupiter for Selling and Distributing Electricity</t>
  </si>
  <si>
    <t>Al Karm for Water</t>
  </si>
  <si>
    <t>Al Karm for Buildings</t>
  </si>
  <si>
    <t>Al Karm for Charging Electric Vehicles</t>
  </si>
  <si>
    <t>Excellence</t>
  </si>
  <si>
    <t>Success</t>
  </si>
  <si>
    <t>المعرفة</t>
  </si>
  <si>
    <t>السلوك</t>
  </si>
  <si>
    <t>تقبل النقد</t>
  </si>
  <si>
    <t>التميز</t>
  </si>
  <si>
    <t>النجاح</t>
  </si>
  <si>
    <t>الاحترام</t>
  </si>
  <si>
    <t>Beginner</t>
  </si>
  <si>
    <t>Developing</t>
  </si>
  <si>
    <t>Competent</t>
  </si>
  <si>
    <t>Advanced</t>
  </si>
  <si>
    <t>Expert</t>
  </si>
  <si>
    <t>Avg Rating</t>
  </si>
  <si>
    <r>
      <rPr>
        <b/>
        <u/>
        <sz val="14"/>
        <color theme="1"/>
        <rFont val="Aptos Narrow (Body)"/>
      </rPr>
      <t>Excellence.</t>
    </r>
    <r>
      <rPr>
        <b/>
        <sz val="12"/>
        <color theme="1"/>
        <rFont val="Calibri"/>
        <family val="2"/>
        <scheme val="minor"/>
      </rPr>
      <t xml:space="preserve">
Excellence is not a goal—it is a standard. We take pride in fully understanding our areas of expertise that reflects on providing high quality work to our internal and external clients.
</t>
    </r>
  </si>
  <si>
    <t xml:space="preserve">
Understands the basic requirements of the role.
Seeks guidance to ensure work meets minimum quality standards.</t>
  </si>
  <si>
    <t xml:space="preserve">
Consistently applies technical knowledge to tasks. 
Begins to identify and correct own errors before submission.</t>
  </si>
  <si>
    <t xml:space="preserve">
Fully masters the scope of work.
Delivers high-quality results autonomously that meet or exceed client expectations.</t>
  </si>
  <si>
    <t xml:space="preserve">
Anticipates quality issues before they arise. 
Streamlines processes to improve efficiency without sacrificing quality.</t>
  </si>
  <si>
    <t xml:space="preserve">
Completes assigned tasks on time. 
Understands how their specific role contributes to the team’s goals.</t>
  </si>
  <si>
    <t xml:space="preserve">
Suggests small improvements to save time or resources. 
Shows awareness of the firm’s financial objectives.</t>
  </si>
  <si>
    <t xml:space="preserve">
Delivers work that directly contributes to project profitability or technological uptime. 
Balances quality with speed effectively.</t>
  </si>
  <si>
    <t xml:space="preserve">
Identifies new opportunities for cost-saving or revenue generation. 
Actively contributes to technological development or refinement.</t>
  </si>
  <si>
    <t xml:space="preserve">
Takes ownership of daily tasks and shows the right level of care to deliver as per expected and agreed standards.
Provides status updates without being prompted.</t>
  </si>
  <si>
    <t xml:space="preserve">
Holds self responsible for meeting KPIs and continuously looks for short and long term solutions. 
Takes immediate corrective action if results deviate from the plan.</t>
  </si>
  <si>
    <t xml:space="preserve">
Assumes responsibility for team outcomes (even if not the leader). 
Acts as a guardian of Karm. brand in the public eye</t>
  </si>
  <si>
    <t xml:space="preserve">
Sets the standards for institutional integrity by playing an active role in improvement activities. 
Takes full ownership of high-stakes strategic risks and their consequences</t>
  </si>
  <si>
    <t xml:space="preserve">
Adheres to the Karm. code of conduct. 
Communicates honestly with colleagues and immediate supervisors.</t>
  </si>
  <si>
    <t xml:space="preserve">
Demonstrates sensitivity to the company culture and diversity. 
Maintains transparency even when delivering "bad news" or reporting errors.</t>
  </si>
  <si>
    <r>
      <rPr>
        <b/>
        <u/>
        <sz val="14"/>
        <color theme="1"/>
        <rFont val="Aptos Narrow (Body)"/>
      </rPr>
      <t>Learner Mindset.</t>
    </r>
    <r>
      <rPr>
        <b/>
        <sz val="12"/>
        <color theme="1"/>
        <rFont val="Calibri"/>
        <family val="2"/>
        <scheme val="minor"/>
      </rPr>
      <t xml:space="preserve">
We are eager for continuous learning by dealing with our daily interactions and experiences as great opportunities to learn, develop and acquire knowledge.</t>
    </r>
  </si>
  <si>
    <t>Logistics</t>
  </si>
  <si>
    <t>Generation</t>
  </si>
  <si>
    <t>Business Development</t>
  </si>
  <si>
    <t>KB - Construction</t>
  </si>
  <si>
    <t>KB- KAL</t>
  </si>
  <si>
    <t>Sand</t>
  </si>
  <si>
    <t xml:space="preserve">
Sets the "gold standards" for the Company and produces new knowledge in the subject matter
Recognized as a Subject Matter Expert (SME) who mentors others in mastery.</t>
  </si>
  <si>
    <t xml:space="preserve">
Orchestrates large-scale initiatives that drive significant value for the organization. 
Aligns technological innovation with long-term market performance including production of patents and commercializing them.</t>
  </si>
  <si>
    <r>
      <rPr>
        <b/>
        <u/>
        <sz val="14"/>
        <color theme="1"/>
        <rFont val="Aptos Narrow (Body)"/>
      </rPr>
      <t>Respect.</t>
    </r>
    <r>
      <rPr>
        <b/>
        <sz val="12"/>
        <color theme="1"/>
        <rFont val="Calibri"/>
        <family val="2"/>
        <scheme val="minor"/>
      </rPr>
      <t xml:space="preserve">
We act with unwavering respect, integrity, and transparency no matter the context or location.</t>
    </r>
  </si>
  <si>
    <r>
      <rPr>
        <b/>
        <u/>
        <sz val="14"/>
        <color theme="1"/>
        <rFont val="Aptos Narrow (Body)"/>
      </rPr>
      <t>Accountability.</t>
    </r>
    <r>
      <rPr>
        <b/>
        <sz val="12"/>
        <color theme="1"/>
        <rFont val="Calibri"/>
        <family val="2"/>
        <scheme val="minor"/>
      </rPr>
      <t xml:space="preserve">
Each of us is responsible for upholding the reputation and success of Karm. while being held accountable for our results. Building a culture dependent on adhering to governance and processes, rather than trust between individuals.</t>
    </r>
  </si>
  <si>
    <t>Collaboration and Care</t>
  </si>
  <si>
    <t>Learner Mindset</t>
  </si>
  <si>
    <t>التعاون والتراحم</t>
  </si>
  <si>
    <r>
      <t xml:space="preserve">Success.
</t>
    </r>
    <r>
      <rPr>
        <b/>
        <sz val="12"/>
        <color theme="1"/>
        <rFont val="Aptos Narrow (Body)"/>
      </rPr>
      <t xml:space="preserve">
Our success is to deliver quality work that ensures solid financial growth and continuous development of state-of-the-art technology in our field of expertise.</t>
    </r>
    <r>
      <rPr>
        <b/>
        <u/>
        <sz val="14"/>
        <color theme="1"/>
        <rFont val="Aptos Narrow (Body)"/>
      </rPr>
      <t xml:space="preserve">
</t>
    </r>
  </si>
  <si>
    <t xml:space="preserve">
Champions transparency in difficult situations. 
Protects Karm.'s integrity by calling out behaviors that contradict the company values.</t>
  </si>
  <si>
    <t xml:space="preserve">
Embodies Karm. ethical compass represented in policies and social behavior.
Creates an environment where psychological safety and transparency are the norm.</t>
  </si>
  <si>
    <r>
      <rPr>
        <b/>
        <u/>
        <sz val="14"/>
        <color theme="1"/>
        <rFont val="Aptos Narrow (Body)"/>
      </rPr>
      <t>Collaboration and Care.</t>
    </r>
    <r>
      <rPr>
        <b/>
        <sz val="12"/>
        <color theme="1"/>
        <rFont val="Calibri"/>
        <family val="2"/>
        <scheme val="minor"/>
      </rPr>
      <t xml:space="preserve">
True collaboration means effective teamwork, knowledge-sharing, respecting differing viewpoints, and leveraging the strengths of our diverse teams. Pursue mentoring others
</t>
    </r>
  </si>
  <si>
    <t>المهارات الرئيسية</t>
  </si>
  <si>
    <t>المهارات الوظيفية</t>
  </si>
  <si>
    <t>التخطيط والموازنة</t>
  </si>
  <si>
    <t>Delegation &amp; People Management and Development</t>
  </si>
  <si>
    <t xml:space="preserve">
Proactively offers help to teammates without being asked.
Acknowledges different viewpoints during discussions.
Supports teammates during high-pressure periods when needed.</t>
  </si>
  <si>
    <t xml:space="preserve">
Actively shares knowledge to prevent information silos and ensure maximum benefit.
Works effectively with diverse colleagues across different departments.
Anticipates teammates’ needs and offers support proactively.</t>
  </si>
  <si>
    <t xml:space="preserve">
Follows instructions and admits mistakes when they are pointed out. 
Understands the criticality and importance of Karm.  reputation.</t>
  </si>
  <si>
    <t xml:space="preserve">
Pursuing a consistently ethical behavior to ensure institutional cohesion.
Treats all colleagues, from site workers to executives, with equal dignity.</t>
  </si>
  <si>
    <t>مهارات الوظيفية</t>
  </si>
  <si>
    <t>Blue Collar</t>
  </si>
  <si>
    <t>Delegation &amp; People Management &amp; Development</t>
  </si>
  <si>
    <t>Measurement</t>
  </si>
  <si>
    <t>Finalize all departments’ functional policies and close compliance audit actions</t>
  </si>
  <si>
    <t>Respond and finalize policies within 2 weeks of receipt; Close 95% of compliance audit actions</t>
  </si>
  <si>
    <t>Training, awareness, and implementation of launched compliance systems and policies</t>
  </si>
  <si>
    <t>Pass training tests with score ≥ 85%; Zero policy breaches</t>
  </si>
  <si>
    <t>Attend all trainings and events reporting</t>
  </si>
  <si>
    <t>Pass training tests with score ≥ 75%; Report 3 events/violations per month</t>
  </si>
  <si>
    <t>Measures</t>
  </si>
  <si>
    <t>Ensure leadership commitment to HSE compliance, governance, and visible safety leadership.</t>
  </si>
  <si>
    <t>• 100% attendance in HSES trainings• 100% attendance in HSES meetings• Complete 4 HSES observations• Conduct 2 management safety tours• Zero verbal or written HSE warnings</t>
  </si>
  <si>
    <t>Ensure effective implementation, monitoring, and enforcement of HSE systems and policies within teams.</t>
  </si>
  <si>
    <t>• 100% attendance in HSES trainings• 100% attendance in HSES meetings• Complete 4 HSES observations• Conduct 2 management safety tours• Close 100% of critical and 80% of other audit actions• Zero verbal or written HSE warnings</t>
  </si>
  <si>
    <t>Comply with HSE requirements and actively contribute to a safe and compliant working environment.</t>
  </si>
  <si>
    <t>• 100% attendance in HSES trainings• 100% attendance in HSES meetings• Submit 12 HSES observations• Close 100% of critical and 80% of other assigned audit actions• Zero verbal or written HSE warnings</t>
  </si>
  <si>
    <t>Adhere to HSE procedures and actively participate in maintaining a safe work environment.</t>
  </si>
  <si>
    <t>• 100% attendance in HSES trainings• 100% attendance in HSES meetings• Submit 12 HSES observations• Zero verbal or written HSE warnings</t>
  </si>
  <si>
    <t>UK Entity</t>
  </si>
  <si>
    <t>NL Entity</t>
  </si>
  <si>
    <t>Sarapis Energy</t>
  </si>
  <si>
    <t xml:space="preserve">
Open to feedback and willing to attend learning sessions. 
Shows curiosity about Karm. activities, and the industry and countries we operate in.
Attends required trainings when instructed</t>
  </si>
  <si>
    <t xml:space="preserve">
Asks insightful questions to deepen understanding. 
Applies lessons learned from past mistakes to current work.
Acknowledges areas for improvement when feedback is provided and participates in relevant training opportunities.</t>
  </si>
  <si>
    <t xml:space="preserve">
Actively utilize feedback and pursues self-development
Stays updated on latest solar trends and regulatory changes in countries we operate in.
Actively identifies own skill gaps, seeks feedback, and requests appropriate training to improve performance.</t>
  </si>
  <si>
    <t xml:space="preserve">
Transforms daily challenges into learning moments for the team.
Rapidly adapts to new technologies, markets and businesses.
Proactively drives personal development by continuously assessing strengths and weaknesses and pursuing targeted learning opportunities.</t>
  </si>
  <si>
    <t xml:space="preserve">
Drives an "Organizational Learning" culture, encouraging colleagues to learn and leading by example.
Anticipates future skill gaps and builds the systems to address them.
Embeds a learner mindset into daily work, models self-development for others, and encourages a culture of continuous learning and growth.</t>
  </si>
  <si>
    <t>تحمل المسؤولية</t>
  </si>
  <si>
    <t>عقلية التعلم</t>
  </si>
  <si>
    <t xml:space="preserve">
Participates in meetings and shares information when asked.
Maintains a decent and polite working relationships.
Shows basic awareness of others’ needs.
Participates in team-building activities</t>
  </si>
  <si>
    <t xml:space="preserve">
Resolves team conflicts constructively.
Builds bridges between international sites to harmonize efforts.
Acts as a role model in caring leadership, mentoring others to do the same.
Initiates and supports team-building activities that strengthen collaboration, engagement, and morale.</t>
  </si>
  <si>
    <t xml:space="preserve">
Creates a culture of radical synergy.
Leverages the full diversity of the workforce to solve complex multidimensional challenges.
Anticipates the needs of people and the organization and acts with care through decisions that balance performance and long-term sustainability.
Builds strong, high-performing teams by leading meaningful team-building initiatives and fostering sustained engagement and collaboration.</t>
  </si>
  <si>
    <t>Karm Holding</t>
  </si>
  <si>
    <t>HSE Objective</t>
  </si>
  <si>
    <t>Compliance Objective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</si>
</sst>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409]d\-mmm\-yy;@"/>
    <numFmt numFmtId="166" formatCode="dd\ mmm\ yyyy"/>
    <numFmt numFmtId="167" formatCode="_(* #,##0.0_);_(* \(#,##0.0\);_(* &quot;-&quot;??_);_(@_)"/>
    <numFmt numFmtId="168" formatCode="0.000%"/>
    <numFmt numFmtId="169" formatCode="[$-409]dd\-mmm\-yy;@"/>
  </numFmts>
  <fonts count="82">
    <font>
      <sz val="10"/>
      <name val="Arial"/>
    </font>
    <font>
      <sz val="12"/>
      <color theme="1"/>
      <name val="Calibri"/>
      <family val="2"/>
      <scheme val="minor"/>
    </font>
    <font>
      <sz val="12"/>
      <color theme="1"/>
      <name val="Calibri"/>
      <family val="2"/>
      <scheme val="minor"/>
    </font>
    <font>
      <sz val="12"/>
      <color theme="1"/>
      <name val="Calibri"/>
      <family val="2"/>
      <scheme val="minor"/>
    </font>
    <font>
      <sz val="11"/>
      <name val="Calibri"/>
      <family val="2"/>
    </font>
    <font>
      <sz val="11"/>
      <name val="Calibri"/>
      <family val="2"/>
    </font>
    <font>
      <sz val="11"/>
      <name val="Calibri"/>
      <family val="2"/>
    </font>
    <font>
      <sz val="11"/>
      <name val="Calibri"/>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sz val="12"/>
      <name val="Gill Sans MT"/>
      <family val="2"/>
    </font>
    <font>
      <sz val="11"/>
      <name val="Gill Sans MT"/>
      <family val="2"/>
    </font>
    <font>
      <b/>
      <sz val="11"/>
      <name val="Gill Sans MT"/>
      <family val="2"/>
    </font>
    <font>
      <b/>
      <i/>
      <sz val="11"/>
      <name val="Gill Sans MT"/>
      <family val="2"/>
    </font>
    <font>
      <sz val="11"/>
      <name val="Calibri"/>
      <family val="2"/>
    </font>
    <font>
      <b/>
      <sz val="11"/>
      <name val="Calibri"/>
      <family val="2"/>
    </font>
    <font>
      <b/>
      <i/>
      <sz val="11"/>
      <name val="Calibri"/>
      <family val="2"/>
    </font>
    <font>
      <b/>
      <i/>
      <sz val="11"/>
      <color indexed="9"/>
      <name val="Calibri"/>
      <family val="2"/>
    </font>
    <font>
      <sz val="14"/>
      <name val="Calibri"/>
      <family val="2"/>
    </font>
    <font>
      <sz val="12"/>
      <name val="Calibri"/>
      <family val="2"/>
    </font>
    <font>
      <i/>
      <sz val="11"/>
      <name val="Calibri"/>
      <family val="2"/>
    </font>
    <font>
      <sz val="11"/>
      <color indexed="55"/>
      <name val="Calibri"/>
      <family val="2"/>
    </font>
    <font>
      <sz val="11"/>
      <name val="Arial"/>
      <family val="2"/>
    </font>
    <font>
      <b/>
      <sz val="14"/>
      <name val="Arial"/>
      <family val="2"/>
    </font>
    <font>
      <b/>
      <sz val="12"/>
      <name val="Arial"/>
      <family val="2"/>
    </font>
    <font>
      <b/>
      <sz val="16"/>
      <name val="Arial"/>
      <family val="2"/>
    </font>
    <font>
      <b/>
      <sz val="11"/>
      <color theme="0"/>
      <name val="Calibri"/>
      <family val="2"/>
    </font>
    <font>
      <i/>
      <sz val="11"/>
      <color rgb="FF000000"/>
      <name val="Calibri"/>
      <family val="2"/>
    </font>
    <font>
      <sz val="11"/>
      <color rgb="FF000000"/>
      <name val="Calibri"/>
      <family val="2"/>
    </font>
    <font>
      <b/>
      <i/>
      <sz val="11"/>
      <color theme="0"/>
      <name val="Calibri"/>
      <family val="2"/>
    </font>
    <font>
      <b/>
      <sz val="14"/>
      <color theme="0"/>
      <name val="Calibri"/>
      <family val="2"/>
    </font>
    <font>
      <b/>
      <sz val="14"/>
      <color theme="0"/>
      <name val="Gill Sans MT"/>
      <family val="2"/>
    </font>
    <font>
      <sz val="10"/>
      <name val="Gill Sans MT"/>
      <family val="2"/>
    </font>
    <font>
      <sz val="12"/>
      <color theme="1"/>
      <name val="Gill Sans MT"/>
      <family val="2"/>
    </font>
    <font>
      <i/>
      <sz val="12"/>
      <color theme="1"/>
      <name val="Gill Sans MT"/>
      <family val="2"/>
    </font>
    <font>
      <i/>
      <sz val="12"/>
      <name val="Gill Sans MT"/>
      <family val="2"/>
    </font>
    <font>
      <sz val="11"/>
      <color theme="1"/>
      <name val="Calibri"/>
      <family val="2"/>
      <scheme val="minor"/>
    </font>
    <font>
      <sz val="11"/>
      <name val="Calibri"/>
      <family val="2"/>
      <scheme val="minor"/>
    </font>
    <font>
      <sz val="18"/>
      <color rgb="FF57595D"/>
      <name val="Helvetica"/>
      <family val="2"/>
    </font>
    <font>
      <b/>
      <sz val="22"/>
      <color theme="1"/>
      <name val="Calibri"/>
      <family val="2"/>
      <scheme val="minor"/>
    </font>
    <font>
      <b/>
      <sz val="11"/>
      <color theme="1"/>
      <name val="Calibri"/>
      <family val="2"/>
      <scheme val="minor"/>
    </font>
    <font>
      <sz val="8"/>
      <color theme="1"/>
      <name val="Calibri"/>
      <family val="2"/>
      <scheme val="minor"/>
    </font>
    <font>
      <b/>
      <sz val="9"/>
      <color theme="1"/>
      <name val="Calibri"/>
      <family val="2"/>
      <scheme val="minor"/>
    </font>
    <font>
      <sz val="20"/>
      <color theme="1"/>
      <name val="Calibri"/>
      <family val="2"/>
      <scheme val="minor"/>
    </font>
    <font>
      <b/>
      <sz val="16"/>
      <color theme="1"/>
      <name val="Calibri"/>
      <family val="2"/>
      <scheme val="minor"/>
    </font>
    <font>
      <sz val="9"/>
      <name val="Calibri"/>
      <family val="2"/>
      <scheme val="minor"/>
    </font>
    <font>
      <sz val="8"/>
      <name val="Calibri"/>
      <family val="2"/>
      <scheme val="minor"/>
    </font>
    <font>
      <sz val="9"/>
      <color theme="1"/>
      <name val="Calibri"/>
      <family val="2"/>
      <scheme val="minor"/>
    </font>
    <font>
      <sz val="11"/>
      <color theme="1"/>
      <name val="Times Roman"/>
    </font>
    <font>
      <b/>
      <sz val="11"/>
      <color theme="1"/>
      <name val="Times Roman"/>
    </font>
    <font>
      <sz val="12"/>
      <color rgb="FF000000"/>
      <name val="Century"/>
      <family val="1"/>
    </font>
    <font>
      <sz val="10"/>
      <color theme="1"/>
      <name val="Baskerville Old Face"/>
      <family val="1"/>
    </font>
    <font>
      <sz val="11"/>
      <color rgb="FF000000"/>
      <name val="Calibri"/>
      <family val="2"/>
      <scheme val="minor"/>
    </font>
    <font>
      <b/>
      <sz val="11"/>
      <color theme="1"/>
      <name val="Calibri"/>
      <family val="2"/>
    </font>
    <font>
      <b/>
      <sz val="14"/>
      <color theme="0"/>
      <name val="Calibri"/>
      <family val="2"/>
      <scheme val="minor"/>
    </font>
    <font>
      <b/>
      <sz val="14"/>
      <color theme="1"/>
      <name val="Calibri"/>
      <family val="2"/>
      <scheme val="minor"/>
    </font>
    <font>
      <b/>
      <sz val="12"/>
      <color theme="1"/>
      <name val="Calibri"/>
      <family val="2"/>
      <scheme val="minor"/>
    </font>
    <font>
      <b/>
      <u/>
      <sz val="14"/>
      <color theme="1"/>
      <name val="Aptos Narrow (Body)"/>
    </font>
    <font>
      <b/>
      <sz val="12"/>
      <color theme="1"/>
      <name val="Aptos Narrow (Body)"/>
    </font>
    <font>
      <b/>
      <i/>
      <sz val="11"/>
      <color theme="1"/>
      <name val="Calibri"/>
      <family val="2"/>
    </font>
    <font>
      <b/>
      <sz val="10"/>
      <color rgb="FF000000"/>
      <name val="Arial"/>
      <family val="2"/>
    </font>
    <font>
      <sz val="10"/>
      <color rgb="FF000000"/>
      <name val="Arial"/>
      <family val="2"/>
    </font>
    <font>
      <sz val="11"/>
      <color theme="1"/>
      <name val="Calibri"/>
      <family val="2"/>
    </font>
  </fonts>
  <fills count="4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18"/>
        <bgColor indexed="64"/>
      </patternFill>
    </fill>
    <fill>
      <patternFill patternType="solid">
        <fgColor indexed="5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99FF"/>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FF"/>
        <bgColor rgb="FF000000"/>
      </patternFill>
    </fill>
    <fill>
      <patternFill patternType="solid">
        <fgColor theme="1"/>
        <bgColor indexed="64"/>
      </patternFill>
    </fill>
    <fill>
      <patternFill patternType="solid">
        <fgColor theme="0" tint="-4.9989318521683403E-2"/>
        <bgColor indexed="64"/>
      </patternFill>
    </fill>
  </fills>
  <borders count="1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hair">
        <color indexed="23"/>
      </right>
      <top style="hair">
        <color indexed="23"/>
      </top>
      <bottom style="medium">
        <color indexed="64"/>
      </bottom>
      <diagonal/>
    </border>
    <border>
      <left style="hair">
        <color indexed="23"/>
      </left>
      <right style="hair">
        <color indexed="23"/>
      </right>
      <top style="hair">
        <color indexed="23"/>
      </top>
      <bottom style="medium">
        <color indexed="64"/>
      </bottom>
      <diagonal/>
    </border>
    <border>
      <left style="hair">
        <color indexed="23"/>
      </left>
      <right style="medium">
        <color indexed="64"/>
      </right>
      <top style="hair">
        <color indexed="23"/>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dotted">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style="dotted">
        <color indexed="64"/>
      </top>
      <bottom style="medium">
        <color indexed="64"/>
      </bottom>
      <diagonal/>
    </border>
    <border>
      <left style="thin">
        <color indexed="64"/>
      </left>
      <right style="thin">
        <color indexed="64"/>
      </right>
      <top style="medium">
        <color indexed="23"/>
      </top>
      <bottom style="medium">
        <color indexed="23"/>
      </bottom>
      <diagonal/>
    </border>
    <border>
      <left style="medium">
        <color indexed="55"/>
      </left>
      <right style="medium">
        <color indexed="55"/>
      </right>
      <top style="medium">
        <color indexed="55"/>
      </top>
      <bottom style="medium">
        <color indexed="55"/>
      </bottom>
      <diagonal/>
    </border>
    <border>
      <left/>
      <right style="medium">
        <color indexed="23"/>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23"/>
      </left>
      <right style="thin">
        <color indexed="64"/>
      </right>
      <top style="medium">
        <color indexed="23"/>
      </top>
      <bottom style="medium">
        <color indexed="23"/>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23"/>
      </left>
      <right/>
      <top style="medium">
        <color indexed="23"/>
      </top>
      <bottom style="medium">
        <color indexed="23"/>
      </bottom>
      <diagonal/>
    </border>
    <border>
      <left/>
      <right/>
      <top style="medium">
        <color indexed="23"/>
      </top>
      <bottom style="medium">
        <color indexed="23"/>
      </bottom>
      <diagonal/>
    </border>
    <border>
      <left/>
      <right style="medium">
        <color indexed="23"/>
      </right>
      <top style="medium">
        <color indexed="23"/>
      </top>
      <bottom style="medium">
        <color indexed="23"/>
      </bottom>
      <diagonal/>
    </border>
    <border>
      <left style="medium">
        <color indexed="55"/>
      </left>
      <right/>
      <top style="medium">
        <color indexed="55"/>
      </top>
      <bottom style="medium">
        <color indexed="55"/>
      </bottom>
      <diagonal/>
    </border>
    <border>
      <left/>
      <right/>
      <top style="medium">
        <color indexed="55"/>
      </top>
      <bottom style="medium">
        <color indexed="55"/>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hair">
        <color indexed="23"/>
      </right>
      <top style="medium">
        <color indexed="64"/>
      </top>
      <bottom style="medium">
        <color indexed="64"/>
      </bottom>
      <diagonal/>
    </border>
    <border>
      <left style="hair">
        <color indexed="23"/>
      </left>
      <right style="hair">
        <color indexed="23"/>
      </right>
      <top style="medium">
        <color indexed="64"/>
      </top>
      <bottom style="medium">
        <color indexed="64"/>
      </bottom>
      <diagonal/>
    </border>
    <border>
      <left style="hair">
        <color indexed="23"/>
      </left>
      <right style="medium">
        <color indexed="64"/>
      </right>
      <top style="medium">
        <color indexed="64"/>
      </top>
      <bottom style="medium">
        <color indexed="64"/>
      </bottom>
      <diagonal/>
    </border>
    <border>
      <left style="medium">
        <color indexed="64"/>
      </left>
      <right style="hair">
        <color indexed="23"/>
      </right>
      <top/>
      <bottom style="hair">
        <color indexed="23"/>
      </bottom>
      <diagonal/>
    </border>
    <border>
      <left style="hair">
        <color indexed="23"/>
      </left>
      <right style="hair">
        <color indexed="23"/>
      </right>
      <top/>
      <bottom style="hair">
        <color indexed="23"/>
      </bottom>
      <diagonal/>
    </border>
    <border>
      <left style="hair">
        <color indexed="23"/>
      </left>
      <right style="medium">
        <color indexed="64"/>
      </right>
      <top/>
      <bottom style="hair">
        <color indexed="23"/>
      </bottom>
      <diagonal/>
    </border>
    <border>
      <left style="medium">
        <color indexed="64"/>
      </left>
      <right style="hair">
        <color indexed="23"/>
      </right>
      <top style="hair">
        <color indexed="23"/>
      </top>
      <bottom style="medium">
        <color indexed="64"/>
      </bottom>
      <diagonal/>
    </border>
    <border>
      <left/>
      <right style="hair">
        <color indexed="23"/>
      </right>
      <top style="hair">
        <color indexed="23"/>
      </top>
      <bottom style="hair">
        <color indexed="23"/>
      </bottom>
      <diagonal/>
    </border>
    <border>
      <left style="hair">
        <color indexed="23"/>
      </left>
      <right style="hair">
        <color indexed="23"/>
      </right>
      <top style="hair">
        <color indexed="23"/>
      </top>
      <bottom style="hair">
        <color indexed="23"/>
      </bottom>
      <diagonal/>
    </border>
    <border>
      <left style="hair">
        <color indexed="23"/>
      </left>
      <right style="medium">
        <color indexed="64"/>
      </right>
      <top style="hair">
        <color indexed="23"/>
      </top>
      <bottom style="hair">
        <color indexed="23"/>
      </bottom>
      <diagonal/>
    </border>
    <border>
      <left style="medium">
        <color indexed="64"/>
      </left>
      <right style="hair">
        <color indexed="23"/>
      </right>
      <top style="hair">
        <color indexed="23"/>
      </top>
      <bottom style="hair">
        <color indexed="23"/>
      </bottom>
      <diagonal/>
    </border>
    <border>
      <left/>
      <right style="hair">
        <color indexed="23"/>
      </right>
      <top/>
      <bottom style="hair">
        <color indexed="23"/>
      </bottom>
      <diagonal/>
    </border>
    <border>
      <left style="medium">
        <color indexed="64"/>
      </left>
      <right style="hair">
        <color indexed="23"/>
      </right>
      <top style="medium">
        <color indexed="64"/>
      </top>
      <bottom/>
      <diagonal/>
    </border>
    <border>
      <left style="hair">
        <color indexed="23"/>
      </left>
      <right style="hair">
        <color indexed="23"/>
      </right>
      <top style="medium">
        <color indexed="64"/>
      </top>
      <bottom/>
      <diagonal/>
    </border>
    <border>
      <left style="hair">
        <color indexed="23"/>
      </left>
      <right style="medium">
        <color indexed="64"/>
      </right>
      <top style="medium">
        <color indexed="64"/>
      </top>
      <bottom/>
      <diagonal/>
    </border>
    <border>
      <left style="medium">
        <color indexed="64"/>
      </left>
      <right style="hair">
        <color indexed="23"/>
      </right>
      <top style="medium">
        <color indexed="64"/>
      </top>
      <bottom style="medium">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tted">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top style="medium">
        <color indexed="64"/>
      </top>
      <bottom style="hair">
        <color indexed="23"/>
      </bottom>
      <diagonal/>
    </border>
    <border>
      <left/>
      <right/>
      <top style="medium">
        <color indexed="64"/>
      </top>
      <bottom style="hair">
        <color indexed="23"/>
      </bottom>
      <diagonal/>
    </border>
    <border>
      <left/>
      <right style="medium">
        <color indexed="64"/>
      </right>
      <top style="medium">
        <color indexed="64"/>
      </top>
      <bottom style="hair">
        <color indexed="23"/>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thin">
        <color indexed="64"/>
      </top>
      <bottom style="medium">
        <color indexed="64"/>
      </bottom>
      <diagonal/>
    </border>
  </borders>
  <cellStyleXfs count="46">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7" borderId="1" applyNumberFormat="0" applyAlignment="0" applyProtection="0"/>
    <xf numFmtId="0" fontId="21" fillId="0" borderId="6" applyNumberFormat="0" applyFill="0" applyAlignment="0" applyProtection="0"/>
    <xf numFmtId="0" fontId="22" fillId="22" borderId="0" applyNumberFormat="0" applyBorder="0" applyAlignment="0" applyProtection="0"/>
    <xf numFmtId="0" fontId="8" fillId="23" borderId="7" applyNumberFormat="0" applyFont="0" applyAlignment="0" applyProtection="0"/>
    <xf numFmtId="0" fontId="23" fillId="20" borderId="8" applyNumberFormat="0" applyAlignment="0" applyProtection="0"/>
    <xf numFmtId="9" fontId="8" fillId="0" borderId="0" applyFont="0" applyFill="0" applyBorder="0" applyAlignment="0" applyProtection="0"/>
    <xf numFmtId="0" fontId="24" fillId="0" borderId="0" applyNumberFormat="0" applyFill="0" applyBorder="0" applyAlignment="0" applyProtection="0"/>
    <xf numFmtId="0" fontId="25" fillId="0" borderId="9" applyNumberFormat="0" applyFill="0" applyAlignment="0" applyProtection="0"/>
    <xf numFmtId="0" fontId="26" fillId="0" borderId="0" applyNumberFormat="0" applyFill="0" applyBorder="0" applyAlignment="0" applyProtection="0"/>
    <xf numFmtId="43" fontId="8" fillId="0" borderId="0" applyFont="0" applyFill="0" applyBorder="0" applyAlignment="0" applyProtection="0"/>
    <xf numFmtId="0" fontId="3" fillId="0" borderId="0"/>
  </cellStyleXfs>
  <cellXfs count="610">
    <xf numFmtId="0" fontId="0" fillId="0" borderId="0" xfId="0"/>
    <xf numFmtId="0" fontId="30" fillId="0" borderId="0" xfId="0" applyFont="1"/>
    <xf numFmtId="0" fontId="30" fillId="0" borderId="0" xfId="0" applyFont="1" applyAlignment="1">
      <alignment horizontal="center"/>
    </xf>
    <xf numFmtId="0" fontId="31" fillId="25" borderId="16" xfId="0" applyFont="1" applyFill="1" applyBorder="1" applyAlignment="1">
      <alignment vertical="center"/>
    </xf>
    <xf numFmtId="0" fontId="31" fillId="25" borderId="17" xfId="0" applyFont="1" applyFill="1" applyBorder="1" applyAlignment="1">
      <alignment vertical="center"/>
    </xf>
    <xf numFmtId="0" fontId="31" fillId="25" borderId="23" xfId="0" applyFont="1" applyFill="1" applyBorder="1" applyAlignment="1">
      <alignment vertical="center"/>
    </xf>
    <xf numFmtId="0" fontId="31" fillId="24" borderId="38" xfId="0" applyFont="1" applyFill="1" applyBorder="1" applyAlignment="1">
      <alignment horizontal="center" vertical="center"/>
    </xf>
    <xf numFmtId="0" fontId="31" fillId="24" borderId="39" xfId="0" applyFont="1" applyFill="1" applyBorder="1" applyAlignment="1">
      <alignment horizontal="center" vertical="center"/>
    </xf>
    <xf numFmtId="0" fontId="31" fillId="24" borderId="40" xfId="0" applyFont="1" applyFill="1" applyBorder="1" applyAlignment="1">
      <alignment horizontal="center" vertical="center"/>
    </xf>
    <xf numFmtId="0" fontId="31" fillId="24" borderId="41" xfId="0" applyFont="1" applyFill="1" applyBorder="1" applyAlignment="1">
      <alignment horizontal="center" vertical="center"/>
    </xf>
    <xf numFmtId="0" fontId="33" fillId="0" borderId="0" xfId="0" applyFont="1" applyAlignment="1">
      <alignment vertical="center"/>
    </xf>
    <xf numFmtId="0" fontId="33" fillId="0" borderId="37" xfId="0" applyFont="1" applyBorder="1" applyAlignment="1">
      <alignment vertical="center"/>
    </xf>
    <xf numFmtId="0" fontId="37" fillId="0" borderId="0" xfId="0" applyFont="1" applyAlignment="1">
      <alignment vertical="center"/>
    </xf>
    <xf numFmtId="0" fontId="33" fillId="0" borderId="21" xfId="0" applyFont="1" applyBorder="1" applyAlignment="1">
      <alignment vertical="center"/>
    </xf>
    <xf numFmtId="0" fontId="33" fillId="0" borderId="31" xfId="0" applyFont="1" applyBorder="1" applyAlignment="1">
      <alignment vertical="center"/>
    </xf>
    <xf numFmtId="0" fontId="33" fillId="0" borderId="11" xfId="0" applyFont="1" applyBorder="1" applyAlignment="1">
      <alignment vertical="center"/>
    </xf>
    <xf numFmtId="0" fontId="34" fillId="0" borderId="0" xfId="0" applyFont="1" applyAlignment="1">
      <alignment vertical="center"/>
    </xf>
    <xf numFmtId="0" fontId="33" fillId="0" borderId="12" xfId="0" applyFont="1" applyBorder="1" applyAlignment="1">
      <alignment vertical="center"/>
    </xf>
    <xf numFmtId="0" fontId="34" fillId="0" borderId="0" xfId="0" applyFont="1" applyAlignment="1">
      <alignment horizontal="center" vertical="center"/>
    </xf>
    <xf numFmtId="0" fontId="33" fillId="0" borderId="36" xfId="0" applyFont="1" applyBorder="1" applyAlignment="1">
      <alignment vertical="center"/>
    </xf>
    <xf numFmtId="0" fontId="33" fillId="0" borderId="35" xfId="0" applyFont="1" applyBorder="1" applyAlignment="1">
      <alignment vertical="center"/>
    </xf>
    <xf numFmtId="0" fontId="33" fillId="25" borderId="0" xfId="0" applyFont="1" applyFill="1" applyAlignment="1">
      <alignment vertical="center"/>
    </xf>
    <xf numFmtId="0" fontId="34" fillId="0" borderId="0" xfId="0" applyFont="1" applyAlignment="1">
      <alignment horizontal="right" vertical="center" indent="1"/>
    </xf>
    <xf numFmtId="0" fontId="33" fillId="0" borderId="0" xfId="0" applyFont="1" applyAlignment="1">
      <alignment horizontal="right" vertical="center" indent="1"/>
    </xf>
    <xf numFmtId="0" fontId="33" fillId="24" borderId="0" xfId="0" applyFont="1" applyFill="1" applyAlignment="1">
      <alignment horizontal="right" vertical="center" indent="1"/>
    </xf>
    <xf numFmtId="0" fontId="34" fillId="0" borderId="44" xfId="0" applyFont="1" applyBorder="1" applyAlignment="1">
      <alignment horizontal="right" vertical="center" indent="1"/>
    </xf>
    <xf numFmtId="0" fontId="33" fillId="0" borderId="0" xfId="0" applyFont="1" applyProtection="1">
      <protection locked="0"/>
    </xf>
    <xf numFmtId="0" fontId="34" fillId="25" borderId="46" xfId="0" applyFont="1" applyFill="1" applyBorder="1" applyAlignment="1" applyProtection="1">
      <alignment horizontal="center" vertical="center"/>
      <protection locked="0"/>
    </xf>
    <xf numFmtId="0" fontId="34" fillId="25" borderId="47" xfId="0" applyFont="1" applyFill="1" applyBorder="1" applyAlignment="1" applyProtection="1">
      <alignment horizontal="center" vertical="center"/>
      <protection locked="0"/>
    </xf>
    <xf numFmtId="9" fontId="34" fillId="0" borderId="10" xfId="40" applyFont="1" applyBorder="1" applyAlignment="1" applyProtection="1">
      <alignment horizontal="center" vertical="center"/>
      <protection locked="0"/>
    </xf>
    <xf numFmtId="9" fontId="34" fillId="25" borderId="10" xfId="40" applyFont="1" applyFill="1" applyBorder="1" applyAlignment="1" applyProtection="1">
      <alignment horizontal="center" vertical="center"/>
      <protection locked="0"/>
    </xf>
    <xf numFmtId="0" fontId="34" fillId="25" borderId="48" xfId="0" applyFont="1" applyFill="1" applyBorder="1" applyAlignment="1" applyProtection="1">
      <alignment horizontal="center" vertical="center"/>
      <protection locked="0"/>
    </xf>
    <xf numFmtId="0" fontId="33" fillId="0" borderId="11" xfId="0" applyFont="1" applyBorder="1" applyProtection="1">
      <protection locked="0"/>
    </xf>
    <xf numFmtId="0" fontId="33" fillId="0" borderId="12" xfId="0" applyFont="1" applyBorder="1" applyProtection="1">
      <protection locked="0"/>
    </xf>
    <xf numFmtId="0" fontId="34" fillId="0" borderId="0" xfId="0" applyFont="1" applyAlignment="1" applyProtection="1">
      <alignment horizontal="center" vertical="center"/>
      <protection locked="0"/>
    </xf>
    <xf numFmtId="0" fontId="34" fillId="0" borderId="0" xfId="0" applyFont="1" applyAlignment="1">
      <alignment horizontal="center" vertical="center" wrapText="1"/>
    </xf>
    <xf numFmtId="0" fontId="10" fillId="0" borderId="0" xfId="0" applyFont="1" applyAlignment="1" applyProtection="1">
      <alignment vertical="center"/>
      <protection locked="0"/>
    </xf>
    <xf numFmtId="0" fontId="34" fillId="0" borderId="0" xfId="0" applyFont="1" applyAlignment="1" applyProtection="1">
      <alignment horizontal="center" vertical="center" wrapText="1"/>
      <protection locked="0"/>
    </xf>
    <xf numFmtId="164" fontId="13" fillId="0" borderId="0" xfId="0" applyNumberFormat="1" applyFont="1" applyAlignment="1">
      <alignment horizontal="center" vertical="center"/>
    </xf>
    <xf numFmtId="0" fontId="37" fillId="0" borderId="0" xfId="0" applyFont="1" applyAlignment="1" applyProtection="1">
      <alignment vertical="center"/>
      <protection locked="0"/>
    </xf>
    <xf numFmtId="0" fontId="33" fillId="0" borderId="0" xfId="0" applyFont="1" applyAlignment="1" applyProtection="1">
      <alignment vertical="center"/>
      <protection locked="0"/>
    </xf>
    <xf numFmtId="0" fontId="40" fillId="0" borderId="0" xfId="0" applyFont="1" applyAlignment="1" applyProtection="1">
      <alignment vertical="center"/>
      <protection locked="0"/>
    </xf>
    <xf numFmtId="0" fontId="33" fillId="0" borderId="11" xfId="0" applyFont="1" applyBorder="1" applyAlignment="1" applyProtection="1">
      <alignment vertical="center"/>
      <protection locked="0"/>
    </xf>
    <xf numFmtId="0" fontId="33" fillId="0" borderId="12" xfId="0" applyFont="1" applyBorder="1" applyAlignment="1" applyProtection="1">
      <alignment vertical="center"/>
      <protection locked="0"/>
    </xf>
    <xf numFmtId="0" fontId="33" fillId="0" borderId="10" xfId="0" applyFont="1" applyBorder="1" applyAlignment="1" applyProtection="1">
      <alignment vertical="center"/>
      <protection locked="0"/>
    </xf>
    <xf numFmtId="0" fontId="38" fillId="0" borderId="0" xfId="0" applyFont="1" applyAlignment="1" applyProtection="1">
      <alignment vertical="center"/>
      <protection locked="0"/>
    </xf>
    <xf numFmtId="0" fontId="45" fillId="26" borderId="50" xfId="0" applyFont="1" applyFill="1" applyBorder="1" applyAlignment="1" applyProtection="1">
      <alignment horizontal="center" vertical="center"/>
      <protection locked="0"/>
    </xf>
    <xf numFmtId="0" fontId="33" fillId="0" borderId="0" xfId="0" applyFont="1" applyAlignment="1" applyProtection="1">
      <alignment horizontal="center" vertical="center"/>
      <protection locked="0"/>
    </xf>
    <xf numFmtId="0" fontId="39" fillId="0" borderId="0" xfId="0" applyFont="1" applyAlignment="1" applyProtection="1">
      <alignment vertical="center" wrapText="1"/>
      <protection locked="0"/>
    </xf>
    <xf numFmtId="0" fontId="39" fillId="0" borderId="12" xfId="0" applyFont="1" applyBorder="1" applyAlignment="1" applyProtection="1">
      <alignment vertical="center" wrapText="1"/>
      <protection locked="0"/>
    </xf>
    <xf numFmtId="0" fontId="34" fillId="0" borderId="0" xfId="0" applyFont="1" applyAlignment="1" applyProtection="1">
      <alignment vertical="center"/>
      <protection locked="0"/>
    </xf>
    <xf numFmtId="0" fontId="34" fillId="0" borderId="51" xfId="0" applyFont="1" applyBorder="1" applyAlignment="1" applyProtection="1">
      <alignment horizontal="center" vertical="center"/>
      <protection locked="0"/>
    </xf>
    <xf numFmtId="9" fontId="34" fillId="0" borderId="52" xfId="40" applyFont="1" applyBorder="1" applyAlignment="1" applyProtection="1">
      <alignment horizontal="center" vertical="center"/>
      <protection locked="0"/>
    </xf>
    <xf numFmtId="0" fontId="34" fillId="0" borderId="47" xfId="0" applyFont="1" applyBorder="1" applyAlignment="1" applyProtection="1">
      <alignment horizontal="center" vertical="center"/>
      <protection locked="0"/>
    </xf>
    <xf numFmtId="0" fontId="34" fillId="0" borderId="12" xfId="0" applyFont="1" applyBorder="1" applyAlignment="1" applyProtection="1">
      <alignment horizontal="center" vertical="center"/>
      <protection locked="0"/>
    </xf>
    <xf numFmtId="165" fontId="34" fillId="0" borderId="12" xfId="40" applyNumberFormat="1" applyFont="1" applyBorder="1" applyAlignment="1" applyProtection="1">
      <alignment horizontal="center" vertical="center"/>
      <protection locked="0"/>
    </xf>
    <xf numFmtId="166" fontId="33" fillId="0" borderId="34" xfId="0" applyNumberFormat="1" applyFont="1" applyBorder="1" applyAlignment="1" applyProtection="1">
      <alignment horizontal="center" vertical="center"/>
      <protection locked="0"/>
    </xf>
    <xf numFmtId="166" fontId="33" fillId="0" borderId="38" xfId="0" applyNumberFormat="1" applyFont="1" applyBorder="1" applyAlignment="1" applyProtection="1">
      <alignment horizontal="center" vertical="center"/>
      <protection locked="0"/>
    </xf>
    <xf numFmtId="0" fontId="34" fillId="0" borderId="0" xfId="0" applyFont="1" applyAlignment="1">
      <alignment horizontal="left" vertical="center" wrapText="1"/>
    </xf>
    <xf numFmtId="0" fontId="25" fillId="0" borderId="0" xfId="0" applyFont="1" applyAlignment="1">
      <alignment horizontal="left" vertical="center"/>
    </xf>
    <xf numFmtId="0" fontId="46" fillId="0" borderId="0" xfId="0" applyFont="1" applyAlignment="1">
      <alignment vertical="center"/>
    </xf>
    <xf numFmtId="0" fontId="47" fillId="0" borderId="0" xfId="0" applyFont="1" applyAlignment="1">
      <alignment vertical="center"/>
    </xf>
    <xf numFmtId="0" fontId="34" fillId="0" borderId="55" xfId="0" applyFont="1" applyBorder="1" applyAlignment="1" applyProtection="1">
      <alignment horizontal="center" vertical="center"/>
      <protection locked="0"/>
    </xf>
    <xf numFmtId="0" fontId="34" fillId="0" borderId="26" xfId="0" applyFont="1" applyBorder="1" applyAlignment="1" applyProtection="1">
      <alignment horizontal="center" vertical="center"/>
      <protection locked="0"/>
    </xf>
    <xf numFmtId="0" fontId="35" fillId="0" borderId="0" xfId="0" applyFont="1" applyAlignment="1" applyProtection="1">
      <alignment horizontal="right" vertical="center"/>
      <protection locked="0"/>
    </xf>
    <xf numFmtId="0" fontId="33" fillId="0" borderId="0" xfId="0" applyFont="1" applyAlignment="1" applyProtection="1">
      <alignment horizontal="left" vertical="center"/>
      <protection locked="0"/>
    </xf>
    <xf numFmtId="1" fontId="34" fillId="0" borderId="13" xfId="40" applyNumberFormat="1" applyFont="1" applyBorder="1" applyAlignment="1" applyProtection="1">
      <alignment horizontal="center" vertical="center"/>
      <protection locked="0"/>
    </xf>
    <xf numFmtId="1" fontId="34" fillId="0" borderId="10" xfId="40" applyNumberFormat="1" applyFont="1" applyBorder="1" applyAlignment="1" applyProtection="1">
      <alignment horizontal="center" vertical="center"/>
      <protection locked="0"/>
    </xf>
    <xf numFmtId="0" fontId="19" fillId="0" borderId="0" xfId="34" applyFill="1" applyBorder="1" applyAlignment="1" applyProtection="1">
      <alignment horizontal="center" vertical="center"/>
    </xf>
    <xf numFmtId="0" fontId="41" fillId="0" borderId="0" xfId="0" applyFont="1"/>
    <xf numFmtId="0" fontId="41" fillId="0" borderId="47" xfId="0" applyFont="1" applyBorder="1"/>
    <xf numFmtId="0" fontId="41" fillId="0" borderId="10" xfId="0" applyFont="1" applyBorder="1"/>
    <xf numFmtId="0" fontId="41" fillId="0" borderId="49" xfId="0" applyFont="1" applyBorder="1"/>
    <xf numFmtId="0" fontId="41" fillId="0" borderId="15" xfId="0" applyFont="1" applyBorder="1"/>
    <xf numFmtId="0" fontId="41" fillId="0" borderId="13" xfId="0" applyFont="1" applyBorder="1" applyAlignment="1">
      <alignment horizontal="center"/>
    </xf>
    <xf numFmtId="0" fontId="41" fillId="0" borderId="29" xfId="0" applyFont="1" applyBorder="1" applyAlignment="1">
      <alignment horizontal="center"/>
    </xf>
    <xf numFmtId="2" fontId="41" fillId="0" borderId="13" xfId="0" applyNumberFormat="1" applyFont="1" applyBorder="1" applyAlignment="1">
      <alignment horizontal="center"/>
    </xf>
    <xf numFmtId="2" fontId="41" fillId="0" borderId="29" xfId="0" applyNumberFormat="1" applyFont="1" applyBorder="1" applyAlignment="1">
      <alignment horizontal="center"/>
    </xf>
    <xf numFmtId="1" fontId="41" fillId="0" borderId="13" xfId="0" applyNumberFormat="1" applyFont="1" applyBorder="1" applyAlignment="1">
      <alignment horizontal="center"/>
    </xf>
    <xf numFmtId="0" fontId="43" fillId="33" borderId="10" xfId="0" applyFont="1" applyFill="1" applyBorder="1" applyAlignment="1">
      <alignment horizontal="center" vertical="center"/>
    </xf>
    <xf numFmtId="0" fontId="43" fillId="33" borderId="10" xfId="0" applyFont="1" applyFill="1" applyBorder="1" applyAlignment="1">
      <alignment horizontal="center" vertical="center" wrapText="1"/>
    </xf>
    <xf numFmtId="0" fontId="34" fillId="0" borderId="10" xfId="0" applyFont="1" applyBorder="1" applyAlignment="1" applyProtection="1">
      <alignment vertical="center"/>
      <protection locked="0"/>
    </xf>
    <xf numFmtId="0" fontId="33" fillId="0" borderId="14" xfId="0" applyFont="1" applyBorder="1" applyAlignment="1" applyProtection="1">
      <alignment vertical="center"/>
      <protection locked="0"/>
    </xf>
    <xf numFmtId="166" fontId="33" fillId="0" borderId="0" xfId="0" applyNumberFormat="1" applyFont="1" applyAlignment="1" applyProtection="1">
      <alignment horizontal="center" vertical="center"/>
      <protection locked="0"/>
    </xf>
    <xf numFmtId="0" fontId="39" fillId="0" borderId="0" xfId="0" applyFont="1" applyAlignment="1" applyProtection="1">
      <alignment horizontal="center" vertical="center" wrapText="1"/>
      <protection locked="0"/>
    </xf>
    <xf numFmtId="9" fontId="34" fillId="0" borderId="0" xfId="40" applyFont="1" applyFill="1" applyBorder="1" applyAlignment="1" applyProtection="1">
      <alignment horizontal="center" vertical="center" wrapText="1"/>
      <protection locked="0"/>
    </xf>
    <xf numFmtId="1" fontId="34" fillId="0" borderId="0" xfId="40" applyNumberFormat="1" applyFont="1" applyFill="1" applyBorder="1" applyAlignment="1" applyProtection="1">
      <alignment horizontal="center" vertical="center"/>
      <protection locked="0"/>
    </xf>
    <xf numFmtId="165" fontId="34" fillId="0" borderId="0" xfId="40" applyNumberFormat="1" applyFont="1" applyFill="1" applyBorder="1" applyAlignment="1" applyProtection="1">
      <alignment horizontal="center" vertical="center"/>
      <protection locked="0"/>
    </xf>
    <xf numFmtId="1" fontId="34" fillId="28" borderId="0" xfId="40" applyNumberFormat="1" applyFont="1" applyFill="1" applyBorder="1" applyAlignment="1" applyProtection="1">
      <alignment horizontal="center" vertical="center"/>
      <protection locked="0"/>
    </xf>
    <xf numFmtId="15" fontId="33" fillId="0" borderId="0" xfId="0" applyNumberFormat="1" applyFont="1" applyAlignment="1">
      <alignment vertical="center"/>
    </xf>
    <xf numFmtId="165" fontId="41" fillId="0" borderId="0" xfId="0" applyNumberFormat="1" applyFont="1"/>
    <xf numFmtId="0" fontId="41" fillId="29" borderId="45" xfId="0" applyFont="1" applyFill="1" applyBorder="1" applyAlignment="1">
      <alignment horizontal="center"/>
    </xf>
    <xf numFmtId="0" fontId="41" fillId="29" borderId="33" xfId="0" applyFont="1" applyFill="1" applyBorder="1" applyAlignment="1">
      <alignment horizontal="center"/>
    </xf>
    <xf numFmtId="0" fontId="41" fillId="29" borderId="24" xfId="0" applyFont="1" applyFill="1" applyBorder="1" applyAlignment="1">
      <alignment horizontal="center"/>
    </xf>
    <xf numFmtId="0" fontId="41" fillId="0" borderId="93" xfId="0" applyFont="1" applyBorder="1" applyAlignment="1">
      <alignment horizontal="center"/>
    </xf>
    <xf numFmtId="0" fontId="41" fillId="0" borderId="91" xfId="0" applyFont="1" applyBorder="1" applyAlignment="1">
      <alignment horizontal="center"/>
    </xf>
    <xf numFmtId="15" fontId="41" fillId="0" borderId="94" xfId="0" applyNumberFormat="1" applyFont="1" applyBorder="1" applyAlignment="1">
      <alignment horizontal="center"/>
    </xf>
    <xf numFmtId="0" fontId="49" fillId="0" borderId="0" xfId="0" applyFont="1" applyAlignment="1">
      <alignment horizontal="center" vertical="center"/>
    </xf>
    <xf numFmtId="168" fontId="33" fillId="0" borderId="0" xfId="0" applyNumberFormat="1" applyFont="1" applyAlignment="1" applyProtection="1">
      <alignment vertical="center"/>
      <protection locked="0"/>
    </xf>
    <xf numFmtId="0" fontId="36" fillId="0" borderId="0" xfId="0" applyFont="1" applyAlignment="1" applyProtection="1">
      <alignment horizontal="right" vertical="center"/>
      <protection locked="0"/>
    </xf>
    <xf numFmtId="0" fontId="51" fillId="0" borderId="0" xfId="0" applyFont="1" applyAlignment="1">
      <alignment vertical="center"/>
    </xf>
    <xf numFmtId="0" fontId="52" fillId="0" borderId="10" xfId="0" applyFont="1" applyBorder="1" applyAlignment="1">
      <alignment horizontal="left" vertical="center" wrapText="1" indent="2" readingOrder="1"/>
    </xf>
    <xf numFmtId="0" fontId="52" fillId="0" borderId="10" xfId="0" applyFont="1" applyBorder="1" applyAlignment="1">
      <alignment horizontal="center" vertical="center" wrapText="1"/>
    </xf>
    <xf numFmtId="0" fontId="53" fillId="0" borderId="10" xfId="0" applyFont="1" applyBorder="1" applyAlignment="1">
      <alignment horizontal="left" vertical="center" wrapText="1" indent="1"/>
    </xf>
    <xf numFmtId="0" fontId="29" fillId="0" borderId="10" xfId="0" applyFont="1" applyBorder="1" applyAlignment="1">
      <alignment horizontal="center" vertical="center" wrapText="1"/>
    </xf>
    <xf numFmtId="0" fontId="54" fillId="0" borderId="10" xfId="0" applyFont="1" applyBorder="1" applyAlignment="1">
      <alignment horizontal="left" vertical="center" wrapText="1" indent="1"/>
    </xf>
    <xf numFmtId="0" fontId="51" fillId="0" borderId="0" xfId="0" applyFont="1" applyAlignment="1">
      <alignment horizontal="left" vertical="center" indent="2"/>
    </xf>
    <xf numFmtId="0" fontId="51" fillId="0" borderId="0" xfId="0" applyFont="1" applyAlignment="1">
      <alignment horizontal="center" vertical="center" wrapText="1"/>
    </xf>
    <xf numFmtId="0" fontId="51" fillId="0" borderId="0" xfId="0" applyFont="1" applyAlignment="1">
      <alignment horizontal="left" vertical="center" indent="1"/>
    </xf>
    <xf numFmtId="0" fontId="52" fillId="38" borderId="10" xfId="0" applyFont="1" applyFill="1" applyBorder="1" applyAlignment="1">
      <alignment horizontal="left" vertical="center" wrapText="1" indent="2" readingOrder="1"/>
    </xf>
    <xf numFmtId="0" fontId="52" fillId="39" borderId="10" xfId="0" applyFont="1" applyFill="1" applyBorder="1" applyAlignment="1">
      <alignment horizontal="left" vertical="center" wrapText="1" indent="2" readingOrder="1"/>
    </xf>
    <xf numFmtId="0" fontId="52" fillId="40" borderId="10" xfId="0" applyFont="1" applyFill="1" applyBorder="1" applyAlignment="1">
      <alignment horizontal="left" vertical="center" wrapText="1" indent="2" readingOrder="1"/>
    </xf>
    <xf numFmtId="0" fontId="33" fillId="24" borderId="0" xfId="0" applyFont="1" applyFill="1" applyAlignment="1">
      <alignment vertical="center"/>
    </xf>
    <xf numFmtId="0" fontId="52" fillId="40" borderId="10" xfId="0" applyFont="1" applyFill="1" applyBorder="1" applyAlignment="1">
      <alignment horizontal="right" vertical="center" wrapText="1" indent="2" readingOrder="1"/>
    </xf>
    <xf numFmtId="0" fontId="55" fillId="0" borderId="10" xfId="0" applyFont="1" applyBorder="1" applyAlignment="1">
      <alignment horizontal="center" vertical="center" wrapText="1"/>
    </xf>
    <xf numFmtId="0" fontId="56" fillId="0" borderId="10" xfId="0" applyFont="1" applyBorder="1" applyAlignment="1">
      <alignment horizontal="center" vertical="center" wrapText="1"/>
    </xf>
    <xf numFmtId="0" fontId="34" fillId="36" borderId="10" xfId="0" applyFont="1" applyFill="1" applyBorder="1" applyAlignment="1" applyProtection="1">
      <alignment horizontal="center" vertical="center"/>
      <protection locked="0"/>
    </xf>
    <xf numFmtId="0" fontId="34" fillId="36" borderId="10" xfId="0" applyFont="1" applyFill="1" applyBorder="1" applyAlignment="1">
      <alignment horizontal="center" vertical="center"/>
    </xf>
    <xf numFmtId="0" fontId="51" fillId="37" borderId="10" xfId="0" applyFont="1" applyFill="1" applyBorder="1" applyAlignment="1">
      <alignment horizontal="center" vertical="center"/>
    </xf>
    <xf numFmtId="0" fontId="52" fillId="37" borderId="10" xfId="0" applyFont="1" applyFill="1" applyBorder="1" applyAlignment="1">
      <alignment horizontal="left" vertical="center" wrapText="1" indent="2" readingOrder="1"/>
    </xf>
    <xf numFmtId="0" fontId="52" fillId="37" borderId="10" xfId="0" applyFont="1" applyFill="1" applyBorder="1" applyAlignment="1">
      <alignment horizontal="center" vertical="center" wrapText="1"/>
    </xf>
    <xf numFmtId="0" fontId="53" fillId="37" borderId="10" xfId="0" applyFont="1" applyFill="1" applyBorder="1" applyAlignment="1">
      <alignment horizontal="left" vertical="center" wrapText="1" indent="1"/>
    </xf>
    <xf numFmtId="0" fontId="29" fillId="37" borderId="10" xfId="0" applyFont="1" applyFill="1" applyBorder="1" applyAlignment="1">
      <alignment horizontal="center" vertical="center" wrapText="1"/>
    </xf>
    <xf numFmtId="0" fontId="54" fillId="37" borderId="10" xfId="0" applyFont="1" applyFill="1" applyBorder="1" applyAlignment="1">
      <alignment horizontal="left" vertical="center" wrapText="1" indent="1"/>
    </xf>
    <xf numFmtId="0" fontId="51" fillId="38" borderId="10" xfId="0" applyFont="1" applyFill="1" applyBorder="1" applyAlignment="1">
      <alignment horizontal="center" vertical="center"/>
    </xf>
    <xf numFmtId="0" fontId="29" fillId="38" borderId="10" xfId="0" applyFont="1" applyFill="1" applyBorder="1" applyAlignment="1">
      <alignment horizontal="center" vertical="center" wrapText="1"/>
    </xf>
    <xf numFmtId="0" fontId="54" fillId="38" borderId="10" xfId="0" applyFont="1" applyFill="1" applyBorder="1" applyAlignment="1">
      <alignment horizontal="left" vertical="center" wrapText="1" indent="1"/>
    </xf>
    <xf numFmtId="0" fontId="52" fillId="38" borderId="10" xfId="0" applyFont="1" applyFill="1" applyBorder="1" applyAlignment="1">
      <alignment horizontal="center" vertical="center" wrapText="1"/>
    </xf>
    <xf numFmtId="0" fontId="53" fillId="38" borderId="10" xfId="0" applyFont="1" applyFill="1" applyBorder="1" applyAlignment="1">
      <alignment horizontal="left" vertical="center" wrapText="1" indent="1"/>
    </xf>
    <xf numFmtId="0" fontId="51" fillId="39" borderId="10" xfId="0" applyFont="1" applyFill="1" applyBorder="1" applyAlignment="1">
      <alignment horizontal="center" vertical="center"/>
    </xf>
    <xf numFmtId="0" fontId="52" fillId="39" borderId="10" xfId="0" applyFont="1" applyFill="1" applyBorder="1" applyAlignment="1">
      <alignment horizontal="center" vertical="center" wrapText="1"/>
    </xf>
    <xf numFmtId="0" fontId="53" fillId="39" borderId="10" xfId="0" applyFont="1" applyFill="1" applyBorder="1" applyAlignment="1">
      <alignment horizontal="left" vertical="center" wrapText="1" indent="1"/>
    </xf>
    <xf numFmtId="0" fontId="29" fillId="39" borderId="10" xfId="0" applyFont="1" applyFill="1" applyBorder="1" applyAlignment="1">
      <alignment horizontal="center" vertical="center" wrapText="1"/>
    </xf>
    <xf numFmtId="0" fontId="54" fillId="39" borderId="10" xfId="0" applyFont="1" applyFill="1" applyBorder="1" applyAlignment="1">
      <alignment horizontal="left" vertical="center" wrapText="1" indent="1"/>
    </xf>
    <xf numFmtId="0" fontId="51" fillId="40" borderId="10" xfId="0" applyFont="1" applyFill="1" applyBorder="1" applyAlignment="1">
      <alignment horizontal="center" vertical="center"/>
    </xf>
    <xf numFmtId="0" fontId="52" fillId="40" borderId="10" xfId="0" applyFont="1" applyFill="1" applyBorder="1" applyAlignment="1">
      <alignment horizontal="center" vertical="center" wrapText="1"/>
    </xf>
    <xf numFmtId="0" fontId="53" fillId="40" borderId="10" xfId="0" applyFont="1" applyFill="1" applyBorder="1" applyAlignment="1">
      <alignment horizontal="left" vertical="center" wrapText="1" indent="1"/>
    </xf>
    <xf numFmtId="0" fontId="29" fillId="40" borderId="10" xfId="0" applyFont="1" applyFill="1" applyBorder="1" applyAlignment="1">
      <alignment horizontal="center" vertical="center" wrapText="1"/>
    </xf>
    <xf numFmtId="0" fontId="54" fillId="40" borderId="10" xfId="0" applyFont="1" applyFill="1" applyBorder="1" applyAlignment="1">
      <alignment horizontal="left" vertical="center" wrapText="1" indent="1"/>
    </xf>
    <xf numFmtId="0" fontId="51" fillId="38" borderId="10" xfId="0" applyFont="1" applyFill="1" applyBorder="1" applyAlignment="1">
      <alignment horizontal="center" vertical="center" wrapText="1"/>
    </xf>
    <xf numFmtId="0" fontId="51" fillId="38" borderId="10" xfId="0" applyFont="1" applyFill="1" applyBorder="1" applyAlignment="1">
      <alignment horizontal="left" vertical="center" indent="1"/>
    </xf>
    <xf numFmtId="0" fontId="50" fillId="32" borderId="0" xfId="0" applyFont="1" applyFill="1" applyAlignment="1">
      <alignment horizontal="center" vertical="center"/>
    </xf>
    <xf numFmtId="0" fontId="52" fillId="29" borderId="10" xfId="0" applyFont="1" applyFill="1" applyBorder="1" applyAlignment="1">
      <alignment horizontal="left" vertical="center" wrapText="1" indent="2" readingOrder="1"/>
    </xf>
    <xf numFmtId="0" fontId="33" fillId="0" borderId="16" xfId="0" applyFont="1" applyBorder="1" applyAlignment="1" applyProtection="1">
      <alignment horizontal="center" vertical="center"/>
      <protection locked="0"/>
    </xf>
    <xf numFmtId="0" fontId="33" fillId="0" borderId="23" xfId="0" applyFont="1" applyBorder="1" applyAlignment="1" applyProtection="1">
      <alignment horizontal="center" vertical="center"/>
      <protection locked="0"/>
    </xf>
    <xf numFmtId="0" fontId="57" fillId="0" borderId="0" xfId="0" applyFont="1"/>
    <xf numFmtId="169" fontId="34" fillId="0" borderId="42" xfId="0" applyNumberFormat="1" applyFont="1" applyBorder="1" applyAlignment="1" applyProtection="1">
      <alignment horizontal="center" vertical="center"/>
      <protection locked="0"/>
    </xf>
    <xf numFmtId="0" fontId="33" fillId="0" borderId="10" xfId="0" applyFont="1" applyBorder="1" applyAlignment="1" applyProtection="1">
      <alignment horizontal="center" vertical="center"/>
      <protection locked="0"/>
    </xf>
    <xf numFmtId="0" fontId="34" fillId="0" borderId="21" xfId="0" applyFont="1" applyBorder="1" applyAlignment="1" applyProtection="1">
      <alignment horizontal="center" vertical="center"/>
      <protection locked="0"/>
    </xf>
    <xf numFmtId="0" fontId="34" fillId="0" borderId="22" xfId="0" applyFont="1" applyBorder="1" applyAlignment="1" applyProtection="1">
      <alignment horizontal="center" vertical="center"/>
      <protection locked="0"/>
    </xf>
    <xf numFmtId="0" fontId="33" fillId="0" borderId="22" xfId="0" applyFont="1" applyBorder="1" applyAlignment="1" applyProtection="1">
      <alignment horizontal="center" vertical="center"/>
      <protection locked="0"/>
    </xf>
    <xf numFmtId="9" fontId="34" fillId="0" borderId="22" xfId="40" applyFont="1" applyBorder="1" applyAlignment="1" applyProtection="1">
      <alignment horizontal="center" vertical="center"/>
      <protection locked="0"/>
    </xf>
    <xf numFmtId="0" fontId="33" fillId="0" borderId="64" xfId="0" applyFont="1" applyBorder="1" applyAlignment="1" applyProtection="1">
      <alignment vertical="center"/>
      <protection locked="0"/>
    </xf>
    <xf numFmtId="0" fontId="33" fillId="0" borderId="98" xfId="0" applyFont="1" applyBorder="1" applyAlignment="1" applyProtection="1">
      <alignment vertical="center"/>
      <protection locked="0"/>
    </xf>
    <xf numFmtId="0" fontId="38" fillId="0" borderId="10" xfId="0" applyFont="1" applyBorder="1" applyAlignment="1" applyProtection="1">
      <alignment horizontal="center" vertical="center"/>
      <protection locked="0"/>
    </xf>
    <xf numFmtId="0" fontId="34" fillId="0" borderId="12" xfId="0" applyFont="1" applyBorder="1" applyAlignment="1" applyProtection="1">
      <alignment vertical="center"/>
      <protection locked="0"/>
    </xf>
    <xf numFmtId="0" fontId="34" fillId="0" borderId="37" xfId="0" applyFont="1" applyBorder="1" applyAlignment="1" applyProtection="1">
      <alignment vertical="center"/>
      <protection locked="0"/>
    </xf>
    <xf numFmtId="0" fontId="34" fillId="0" borderId="35" xfId="0" applyFont="1" applyBorder="1" applyAlignment="1" applyProtection="1">
      <alignment vertical="center"/>
      <protection locked="0"/>
    </xf>
    <xf numFmtId="0" fontId="33" fillId="0" borderId="27" xfId="0" applyFont="1" applyBorder="1" applyAlignment="1" applyProtection="1">
      <alignment vertical="center"/>
      <protection locked="0"/>
    </xf>
    <xf numFmtId="0" fontId="33" fillId="0" borderId="65" xfId="0" applyFont="1" applyBorder="1" applyAlignment="1" applyProtection="1">
      <alignment horizontal="center" vertical="center"/>
      <protection locked="0"/>
    </xf>
    <xf numFmtId="0" fontId="33" fillId="0" borderId="104" xfId="0" applyFont="1" applyBorder="1" applyAlignment="1" applyProtection="1">
      <alignment vertical="center"/>
      <protection locked="0"/>
    </xf>
    <xf numFmtId="0" fontId="38" fillId="0" borderId="104" xfId="0" applyFont="1" applyBorder="1" applyAlignment="1" applyProtection="1">
      <alignment vertical="center"/>
      <protection locked="0"/>
    </xf>
    <xf numFmtId="0" fontId="40" fillId="0" borderId="104" xfId="0" applyFont="1" applyBorder="1" applyAlignment="1" applyProtection="1">
      <alignment vertical="center"/>
      <protection locked="0"/>
    </xf>
    <xf numFmtId="0" fontId="34" fillId="25" borderId="23" xfId="0" applyFont="1" applyFill="1" applyBorder="1" applyAlignment="1">
      <alignment horizontal="center" vertical="center" wrapText="1"/>
    </xf>
    <xf numFmtId="0" fontId="40" fillId="0" borderId="30" xfId="0" applyFont="1" applyBorder="1" applyAlignment="1" applyProtection="1">
      <alignment vertical="center"/>
      <protection locked="0"/>
    </xf>
    <xf numFmtId="9" fontId="34" fillId="25" borderId="30" xfId="40" applyFont="1" applyFill="1" applyBorder="1" applyAlignment="1" applyProtection="1">
      <alignment horizontal="center" vertical="center"/>
      <protection locked="0"/>
    </xf>
    <xf numFmtId="9" fontId="34" fillId="0" borderId="30" xfId="40" applyFont="1" applyBorder="1" applyAlignment="1" applyProtection="1">
      <alignment horizontal="center" vertical="center"/>
    </xf>
    <xf numFmtId="0" fontId="34" fillId="25" borderId="33" xfId="0" applyFont="1" applyFill="1" applyBorder="1" applyAlignment="1">
      <alignment horizontal="center" vertical="center" wrapText="1"/>
    </xf>
    <xf numFmtId="9" fontId="34" fillId="0" borderId="105" xfId="40" applyFont="1" applyBorder="1" applyAlignment="1" applyProtection="1">
      <alignment horizontal="center" vertical="center"/>
    </xf>
    <xf numFmtId="9" fontId="34" fillId="25" borderId="14" xfId="40" applyFont="1" applyFill="1" applyBorder="1" applyAlignment="1" applyProtection="1">
      <alignment horizontal="center" vertical="center"/>
      <protection locked="0"/>
    </xf>
    <xf numFmtId="9" fontId="13" fillId="26" borderId="47" xfId="0" applyNumberFormat="1" applyFont="1" applyFill="1" applyBorder="1" applyAlignment="1">
      <alignment horizontal="center" vertical="center"/>
    </xf>
    <xf numFmtId="9" fontId="25" fillId="25" borderId="49" xfId="0" applyNumberFormat="1" applyFont="1" applyFill="1" applyBorder="1" applyAlignment="1" applyProtection="1">
      <alignment horizontal="center" vertical="center"/>
      <protection locked="0"/>
    </xf>
    <xf numFmtId="0" fontId="35" fillId="0" borderId="64" xfId="0" applyFont="1" applyBorder="1" applyAlignment="1" applyProtection="1">
      <alignment horizontal="right" vertical="center"/>
      <protection locked="0"/>
    </xf>
    <xf numFmtId="0" fontId="49" fillId="0" borderId="0" xfId="0" applyFont="1" applyAlignment="1" applyProtection="1">
      <alignment horizontal="center" vertical="center"/>
      <protection locked="0"/>
    </xf>
    <xf numFmtId="0" fontId="41" fillId="43" borderId="51" xfId="0" applyFont="1" applyFill="1" applyBorder="1" applyAlignment="1">
      <alignment horizontal="center"/>
    </xf>
    <xf numFmtId="0" fontId="41" fillId="43" borderId="53" xfId="0" applyFont="1" applyFill="1" applyBorder="1" applyAlignment="1">
      <alignment horizontal="center"/>
    </xf>
    <xf numFmtId="0" fontId="41" fillId="0" borderId="47" xfId="0" applyFont="1" applyBorder="1" applyAlignment="1">
      <alignment horizontal="center"/>
    </xf>
    <xf numFmtId="9" fontId="41" fillId="0" borderId="13" xfId="0" applyNumberFormat="1" applyFont="1" applyBorder="1" applyAlignment="1">
      <alignment horizontal="center"/>
    </xf>
    <xf numFmtId="0" fontId="41" fillId="0" borderId="49" xfId="0" applyFont="1" applyBorder="1" applyAlignment="1">
      <alignment horizontal="center"/>
    </xf>
    <xf numFmtId="9" fontId="41" fillId="0" borderId="29" xfId="0" applyNumberFormat="1" applyFont="1" applyBorder="1" applyAlignment="1">
      <alignment horizontal="center"/>
    </xf>
    <xf numFmtId="0" fontId="34" fillId="0" borderId="10" xfId="0" applyFont="1" applyBorder="1" applyAlignment="1">
      <alignment horizontal="center" vertical="center"/>
    </xf>
    <xf numFmtId="9" fontId="45" fillId="27" borderId="38" xfId="40" applyFont="1" applyFill="1" applyBorder="1" applyAlignment="1" applyProtection="1">
      <alignment horizontal="center" vertical="center"/>
    </xf>
    <xf numFmtId="0" fontId="34" fillId="25" borderId="45" xfId="0" applyFont="1" applyFill="1" applyBorder="1" applyAlignment="1">
      <alignment horizontal="center" vertical="center"/>
    </xf>
    <xf numFmtId="0" fontId="34" fillId="25" borderId="54" xfId="0" applyFont="1" applyFill="1" applyBorder="1" applyAlignment="1">
      <alignment horizontal="center" vertical="center"/>
    </xf>
    <xf numFmtId="0" fontId="34" fillId="25" borderId="24" xfId="0" applyFont="1" applyFill="1" applyBorder="1" applyAlignment="1">
      <alignment horizontal="center" vertical="center" wrapText="1"/>
    </xf>
    <xf numFmtId="0" fontId="33" fillId="0" borderId="22" xfId="0" applyFont="1" applyBorder="1" applyAlignment="1">
      <alignment vertical="center"/>
    </xf>
    <xf numFmtId="0" fontId="34" fillId="25" borderId="34" xfId="0" applyFont="1" applyFill="1" applyBorder="1" applyAlignment="1">
      <alignment horizontal="center" vertical="center"/>
    </xf>
    <xf numFmtId="0" fontId="34" fillId="25" borderId="38" xfId="0" applyFont="1" applyFill="1" applyBorder="1" applyAlignment="1">
      <alignment horizontal="center" vertical="center"/>
    </xf>
    <xf numFmtId="9" fontId="34" fillId="25" borderId="57" xfId="40" applyFont="1" applyFill="1" applyBorder="1" applyAlignment="1" applyProtection="1">
      <alignment horizontal="center" vertical="center" wrapText="1"/>
    </xf>
    <xf numFmtId="9" fontId="34" fillId="25" borderId="108" xfId="40" applyFont="1" applyFill="1" applyBorder="1" applyAlignment="1" applyProtection="1">
      <alignment horizontal="center" vertical="center" wrapText="1"/>
    </xf>
    <xf numFmtId="0" fontId="34" fillId="33" borderId="23" xfId="0" applyFont="1" applyFill="1" applyBorder="1" applyAlignment="1">
      <alignment horizontal="center" vertical="center"/>
    </xf>
    <xf numFmtId="0" fontId="34" fillId="25" borderId="33" xfId="0" applyFont="1" applyFill="1" applyBorder="1" applyAlignment="1">
      <alignment horizontal="center" vertical="center"/>
    </xf>
    <xf numFmtId="0" fontId="34" fillId="0" borderId="52" xfId="0" applyFont="1" applyBorder="1" applyAlignment="1">
      <alignment horizontal="center" vertical="center"/>
    </xf>
    <xf numFmtId="9" fontId="34" fillId="25" borderId="56" xfId="40" applyFont="1" applyFill="1" applyBorder="1" applyAlignment="1" applyProtection="1">
      <alignment horizontal="center" vertical="center" wrapText="1"/>
    </xf>
    <xf numFmtId="9" fontId="34" fillId="25" borderId="107" xfId="40" applyFont="1" applyFill="1" applyBorder="1" applyAlignment="1" applyProtection="1">
      <alignment horizontal="center" vertical="center" wrapText="1"/>
    </xf>
    <xf numFmtId="0" fontId="34" fillId="25" borderId="45" xfId="0" applyFont="1" applyFill="1" applyBorder="1" applyAlignment="1">
      <alignment horizontal="center" vertical="center" wrapText="1"/>
    </xf>
    <xf numFmtId="0" fontId="40" fillId="0" borderId="33" xfId="0" applyFont="1" applyBorder="1" applyAlignment="1">
      <alignment vertical="center"/>
    </xf>
    <xf numFmtId="0" fontId="35" fillId="0" borderId="10" xfId="0" applyFont="1" applyBorder="1" applyAlignment="1">
      <alignment horizontal="center" vertical="center"/>
    </xf>
    <xf numFmtId="0" fontId="34" fillId="0" borderId="43" xfId="0" applyFont="1" applyBorder="1" applyAlignment="1" applyProtection="1">
      <alignment horizontal="center" vertical="center"/>
      <protection locked="0"/>
    </xf>
    <xf numFmtId="0" fontId="5" fillId="0" borderId="0" xfId="0" applyFont="1" applyAlignment="1" applyProtection="1">
      <alignment vertical="center"/>
      <protection locked="0"/>
    </xf>
    <xf numFmtId="0" fontId="33" fillId="0" borderId="35" xfId="0" applyFont="1" applyBorder="1" applyAlignment="1" applyProtection="1">
      <alignment horizontal="center" vertical="center"/>
      <protection locked="0"/>
    </xf>
    <xf numFmtId="0" fontId="0" fillId="44" borderId="0" xfId="0" applyFill="1" applyAlignment="1">
      <alignment horizontal="center"/>
    </xf>
    <xf numFmtId="0" fontId="0" fillId="0" borderId="0" xfId="0" applyAlignment="1">
      <alignment horizontal="center" vertical="center"/>
    </xf>
    <xf numFmtId="0" fontId="0" fillId="0" borderId="0" xfId="0" applyAlignment="1">
      <alignment horizontal="centerContinuous"/>
    </xf>
    <xf numFmtId="49" fontId="0" fillId="0" borderId="0" xfId="0" applyNumberFormat="1"/>
    <xf numFmtId="0" fontId="35" fillId="25" borderId="0" xfId="0" applyFont="1" applyFill="1" applyAlignment="1">
      <alignment horizontal="right" vertical="center"/>
    </xf>
    <xf numFmtId="0" fontId="0" fillId="33" borderId="0" xfId="0" applyFill="1"/>
    <xf numFmtId="167" fontId="13" fillId="42" borderId="14" xfId="44" applyNumberFormat="1" applyFont="1" applyFill="1" applyBorder="1" applyAlignment="1" applyProtection="1">
      <alignment horizontal="center" vertical="center"/>
    </xf>
    <xf numFmtId="9" fontId="45" fillId="42" borderId="52" xfId="0" applyNumberFormat="1" applyFont="1" applyFill="1" applyBorder="1" applyAlignment="1">
      <alignment horizontal="right"/>
    </xf>
    <xf numFmtId="0" fontId="35" fillId="31" borderId="64" xfId="0" applyFont="1" applyFill="1" applyBorder="1" applyAlignment="1" applyProtection="1">
      <alignment horizontal="right" vertical="center"/>
      <protection locked="0"/>
    </xf>
    <xf numFmtId="0" fontId="35" fillId="25" borderId="96" xfId="0" applyFont="1" applyFill="1" applyBorder="1" applyAlignment="1">
      <alignment horizontal="right" vertical="center"/>
    </xf>
    <xf numFmtId="0" fontId="35" fillId="31" borderId="0" xfId="0" applyFont="1" applyFill="1" applyAlignment="1" applyProtection="1">
      <alignment horizontal="right" vertical="center"/>
      <protection locked="0"/>
    </xf>
    <xf numFmtId="9" fontId="0" fillId="44" borderId="0" xfId="40" applyFont="1" applyFill="1"/>
    <xf numFmtId="0" fontId="0" fillId="44" borderId="0" xfId="0" applyFill="1"/>
    <xf numFmtId="9" fontId="0" fillId="0" borderId="0" xfId="40" applyFont="1"/>
    <xf numFmtId="49" fontId="0" fillId="44" borderId="0" xfId="0" applyNumberFormat="1" applyFill="1"/>
    <xf numFmtId="49" fontId="8" fillId="0" borderId="0" xfId="0" applyNumberFormat="1" applyFont="1"/>
    <xf numFmtId="10" fontId="33" fillId="0" borderId="0" xfId="0" applyNumberFormat="1" applyFont="1" applyAlignment="1" applyProtection="1">
      <alignment vertical="center"/>
      <protection locked="0"/>
    </xf>
    <xf numFmtId="0" fontId="8" fillId="0" borderId="0" xfId="0" applyFont="1" applyAlignment="1">
      <alignment horizontal="center" vertical="center"/>
    </xf>
    <xf numFmtId="49" fontId="45" fillId="42" borderId="30" xfId="0" applyNumberFormat="1" applyFont="1" applyFill="1" applyBorder="1" applyAlignment="1">
      <alignment horizontal="right"/>
    </xf>
    <xf numFmtId="0" fontId="8" fillId="0" borderId="0" xfId="0" applyFont="1"/>
    <xf numFmtId="166" fontId="4" fillId="0" borderId="53" xfId="0" applyNumberFormat="1" applyFont="1" applyBorder="1" applyAlignment="1" applyProtection="1">
      <alignment horizontal="center" vertical="center"/>
      <protection locked="0"/>
    </xf>
    <xf numFmtId="166" fontId="4" fillId="0" borderId="13" xfId="0" applyNumberFormat="1" applyFont="1" applyBorder="1" applyAlignment="1" applyProtection="1">
      <alignment horizontal="center" vertical="center"/>
      <protection locked="0"/>
    </xf>
    <xf numFmtId="49" fontId="33" fillId="0" borderId="10" xfId="0" applyNumberFormat="1" applyFont="1" applyBorder="1" applyAlignment="1" applyProtection="1">
      <alignment horizontal="center" vertical="center"/>
      <protection locked="0"/>
    </xf>
    <xf numFmtId="0" fontId="33" fillId="0" borderId="10" xfId="0" applyFont="1" applyBorder="1" applyAlignment="1">
      <alignment horizontal="center" vertical="center" wrapText="1"/>
    </xf>
    <xf numFmtId="0" fontId="67" fillId="0" borderId="0" xfId="0" applyFont="1" applyAlignment="1">
      <alignment vertical="center"/>
    </xf>
    <xf numFmtId="0" fontId="33" fillId="0" borderId="10" xfId="0" applyFont="1" applyBorder="1" applyAlignment="1">
      <alignment vertical="center" wrapText="1"/>
    </xf>
    <xf numFmtId="9" fontId="34" fillId="25" borderId="94" xfId="40" applyFont="1" applyFill="1" applyBorder="1" applyAlignment="1" applyProtection="1">
      <alignment horizontal="center" vertical="center" wrapText="1"/>
      <protection locked="0"/>
    </xf>
    <xf numFmtId="0" fontId="34" fillId="25" borderId="92" xfId="0" applyFont="1" applyFill="1" applyBorder="1" applyAlignment="1" applyProtection="1">
      <alignment horizontal="center" vertical="center"/>
      <protection locked="0"/>
    </xf>
    <xf numFmtId="0" fontId="34" fillId="25" borderId="93" xfId="0" applyFont="1" applyFill="1" applyBorder="1" applyAlignment="1" applyProtection="1">
      <alignment horizontal="center" vertical="center"/>
      <protection locked="0"/>
    </xf>
    <xf numFmtId="0" fontId="34" fillId="25" borderId="22" xfId="0" applyFont="1" applyFill="1" applyBorder="1" applyAlignment="1" applyProtection="1">
      <alignment horizontal="center" vertical="center"/>
      <protection locked="0"/>
    </xf>
    <xf numFmtId="9" fontId="34" fillId="25" borderId="31" xfId="40" applyFont="1" applyFill="1" applyBorder="1" applyAlignment="1" applyProtection="1">
      <alignment horizontal="center" vertical="center" wrapText="1"/>
      <protection locked="0"/>
    </xf>
    <xf numFmtId="0" fontId="72" fillId="0" borderId="52" xfId="0" applyFont="1" applyBorder="1" applyAlignment="1">
      <alignment horizontal="center"/>
    </xf>
    <xf numFmtId="1" fontId="33" fillId="0" borderId="14" xfId="0" applyNumberFormat="1" applyFont="1" applyBorder="1" applyAlignment="1">
      <alignment horizontal="center" vertical="center" wrapText="1"/>
    </xf>
    <xf numFmtId="0" fontId="33" fillId="35" borderId="13" xfId="0" applyFont="1" applyFill="1" applyBorder="1" applyAlignment="1">
      <alignment horizontal="center" vertical="center" wrapText="1"/>
    </xf>
    <xf numFmtId="0" fontId="33" fillId="35" borderId="29" xfId="0" applyFont="1" applyFill="1" applyBorder="1" applyAlignment="1">
      <alignment horizontal="center" vertical="center" wrapText="1"/>
    </xf>
    <xf numFmtId="0" fontId="34" fillId="25" borderId="56" xfId="0" applyFont="1" applyFill="1" applyBorder="1" applyAlignment="1">
      <alignment horizontal="center" vertical="center" wrapText="1"/>
    </xf>
    <xf numFmtId="0" fontId="74" fillId="0" borderId="0" xfId="0" applyFont="1" applyAlignment="1">
      <alignment vertical="top" wrapText="1"/>
    </xf>
    <xf numFmtId="0" fontId="75" fillId="0" borderId="0" xfId="0" applyFont="1" applyAlignment="1">
      <alignment vertical="top" wrapText="1"/>
    </xf>
    <xf numFmtId="0" fontId="74" fillId="0" borderId="0" xfId="0" applyFont="1"/>
    <xf numFmtId="0" fontId="75" fillId="35" borderId="15" xfId="0" applyFont="1" applyFill="1" applyBorder="1" applyAlignment="1">
      <alignment vertical="top" wrapText="1"/>
    </xf>
    <xf numFmtId="0" fontId="2" fillId="0" borderId="15" xfId="0" applyFont="1" applyBorder="1" applyAlignment="1">
      <alignment vertical="top" wrapText="1"/>
    </xf>
    <xf numFmtId="0" fontId="2" fillId="0" borderId="29" xfId="0" applyFont="1" applyBorder="1" applyAlignment="1">
      <alignment vertical="top" wrapText="1"/>
    </xf>
    <xf numFmtId="0" fontId="29" fillId="41" borderId="53" xfId="0" applyFont="1" applyFill="1" applyBorder="1" applyAlignment="1">
      <alignment horizontal="center" vertical="center"/>
    </xf>
    <xf numFmtId="0" fontId="55" fillId="39" borderId="53" xfId="0" applyFont="1" applyFill="1" applyBorder="1" applyAlignment="1">
      <alignment horizontal="center" vertical="center" readingOrder="1"/>
    </xf>
    <xf numFmtId="0" fontId="55" fillId="39" borderId="13" xfId="0" applyFont="1" applyFill="1" applyBorder="1" applyAlignment="1">
      <alignment horizontal="center" vertical="center" readingOrder="1"/>
    </xf>
    <xf numFmtId="0" fontId="55" fillId="40" borderId="53" xfId="0" applyFont="1" applyFill="1" applyBorder="1" applyAlignment="1">
      <alignment horizontal="center" vertical="center" readingOrder="1"/>
    </xf>
    <xf numFmtId="0" fontId="55" fillId="40" borderId="13" xfId="0" applyFont="1" applyFill="1" applyBorder="1" applyAlignment="1">
      <alignment horizontal="center" vertical="center" readingOrder="1"/>
    </xf>
    <xf numFmtId="0" fontId="55" fillId="38" borderId="103" xfId="0" applyFont="1" applyFill="1" applyBorder="1" applyAlignment="1">
      <alignment horizontal="center" vertical="center" readingOrder="1"/>
    </xf>
    <xf numFmtId="0" fontId="55" fillId="38" borderId="26" xfId="0" applyFont="1" applyFill="1" applyBorder="1" applyAlignment="1">
      <alignment horizontal="center" vertical="center" readingOrder="1"/>
    </xf>
    <xf numFmtId="0" fontId="55" fillId="39" borderId="55" xfId="0" applyFont="1" applyFill="1" applyBorder="1" applyAlignment="1">
      <alignment horizontal="center" vertical="center" readingOrder="1"/>
    </xf>
    <xf numFmtId="0" fontId="55" fillId="39" borderId="26" xfId="0" applyFont="1" applyFill="1" applyBorder="1" applyAlignment="1">
      <alignment horizontal="center" vertical="center" readingOrder="1"/>
    </xf>
    <xf numFmtId="0" fontId="55" fillId="40" borderId="55" xfId="0" applyFont="1" applyFill="1" applyBorder="1" applyAlignment="1">
      <alignment horizontal="center" vertical="center" readingOrder="1"/>
    </xf>
    <xf numFmtId="0" fontId="55" fillId="40" borderId="26" xfId="0" applyFont="1" applyFill="1" applyBorder="1" applyAlignment="1">
      <alignment horizontal="center" vertical="center" readingOrder="1"/>
    </xf>
    <xf numFmtId="0" fontId="52" fillId="41" borderId="55" xfId="0" applyFont="1" applyFill="1" applyBorder="1" applyAlignment="1">
      <alignment horizontal="center" vertical="center" readingOrder="1"/>
    </xf>
    <xf numFmtId="0" fontId="52" fillId="38" borderId="52" xfId="0" applyFont="1" applyFill="1" applyBorder="1" applyAlignment="1">
      <alignment horizontal="center" vertical="center" wrapText="1" readingOrder="1"/>
    </xf>
    <xf numFmtId="0" fontId="52" fillId="38" borderId="10" xfId="0" applyFont="1" applyFill="1" applyBorder="1" applyAlignment="1">
      <alignment horizontal="center" vertical="center" wrapText="1" readingOrder="1"/>
    </xf>
    <xf numFmtId="0" fontId="56" fillId="0" borderId="10" xfId="0" applyFont="1" applyBorder="1" applyAlignment="1" applyProtection="1">
      <alignment vertical="center"/>
      <protection locked="0"/>
    </xf>
    <xf numFmtId="0" fontId="80" fillId="0" borderId="0" xfId="0" applyFont="1"/>
    <xf numFmtId="0" fontId="34" fillId="35" borderId="32" xfId="0" applyFont="1" applyFill="1" applyBorder="1" applyAlignment="1" applyProtection="1">
      <alignment horizontal="center" vertical="center"/>
      <protection locked="0"/>
    </xf>
    <xf numFmtId="0" fontId="4" fillId="35" borderId="10" xfId="0" applyFont="1" applyFill="1" applyBorder="1" applyAlignment="1">
      <alignment horizontal="center" vertical="center" wrapText="1"/>
    </xf>
    <xf numFmtId="0" fontId="34" fillId="0" borderId="32" xfId="0" applyFont="1" applyBorder="1" applyAlignment="1" applyProtection="1">
      <alignment horizontal="center" vertical="center"/>
      <protection locked="0"/>
    </xf>
    <xf numFmtId="0" fontId="4" fillId="0" borderId="10" xfId="0" applyFont="1" applyBorder="1" applyAlignment="1">
      <alignment horizontal="center" vertical="center" wrapText="1"/>
    </xf>
    <xf numFmtId="0" fontId="33" fillId="0" borderId="13" xfId="0" applyFont="1" applyBorder="1" applyAlignment="1">
      <alignment horizontal="center" vertical="center" wrapText="1"/>
    </xf>
    <xf numFmtId="0" fontId="4" fillId="35" borderId="15" xfId="0" applyFont="1" applyFill="1" applyBorder="1" applyAlignment="1">
      <alignment horizontal="center" vertical="center" wrapText="1"/>
    </xf>
    <xf numFmtId="0" fontId="75" fillId="35" borderId="52" xfId="0" applyFont="1" applyFill="1" applyBorder="1" applyAlignment="1">
      <alignment vertical="top" wrapText="1"/>
    </xf>
    <xf numFmtId="0" fontId="2" fillId="0" borderId="52" xfId="0" applyFont="1" applyBorder="1" applyAlignment="1">
      <alignment vertical="top" wrapText="1"/>
    </xf>
    <xf numFmtId="0" fontId="1" fillId="0" borderId="52" xfId="0" applyFont="1" applyBorder="1" applyAlignment="1">
      <alignment vertical="top" wrapText="1"/>
    </xf>
    <xf numFmtId="0" fontId="1" fillId="0" borderId="53" xfId="0" applyFont="1" applyBorder="1" applyAlignment="1">
      <alignment vertical="top" wrapText="1"/>
    </xf>
    <xf numFmtId="0" fontId="1" fillId="0" borderId="15" xfId="0" applyFont="1" applyBorder="1" applyAlignment="1">
      <alignment vertical="top" wrapText="1"/>
    </xf>
    <xf numFmtId="0" fontId="73" fillId="46" borderId="92" xfId="0" applyFont="1" applyFill="1" applyBorder="1" applyAlignment="1">
      <alignment vertical="top" wrapText="1"/>
    </xf>
    <xf numFmtId="0" fontId="73" fillId="46" borderId="107" xfId="0" applyFont="1" applyFill="1" applyBorder="1" applyAlignment="1">
      <alignment vertical="top" wrapText="1"/>
    </xf>
    <xf numFmtId="0" fontId="73" fillId="46" borderId="107" xfId="0" applyFont="1" applyFill="1" applyBorder="1"/>
    <xf numFmtId="0" fontId="73" fillId="46" borderId="56" xfId="0" applyFont="1" applyFill="1" applyBorder="1"/>
    <xf numFmtId="49" fontId="2" fillId="0" borderId="52" xfId="0" applyNumberFormat="1" applyFont="1" applyBorder="1" applyAlignment="1">
      <alignment vertical="top" wrapText="1"/>
    </xf>
    <xf numFmtId="0" fontId="76" fillId="35" borderId="15" xfId="0" applyFont="1" applyFill="1" applyBorder="1" applyAlignment="1">
      <alignment vertical="top" wrapText="1"/>
    </xf>
    <xf numFmtId="0" fontId="1" fillId="0" borderId="29" xfId="0" applyFont="1" applyBorder="1" applyAlignment="1">
      <alignment vertical="top" wrapText="1"/>
    </xf>
    <xf numFmtId="9" fontId="34" fillId="47" borderId="10" xfId="40" applyFont="1" applyFill="1" applyBorder="1" applyAlignment="1" applyProtection="1">
      <alignment horizontal="center" vertical="center"/>
    </xf>
    <xf numFmtId="0" fontId="19" fillId="0" borderId="11" xfId="34" applyFill="1" applyBorder="1" applyAlignment="1" applyProtection="1">
      <alignment horizontal="center" vertical="center"/>
    </xf>
    <xf numFmtId="0" fontId="19" fillId="0" borderId="0" xfId="34" applyFill="1" applyBorder="1" applyAlignment="1" applyProtection="1">
      <alignment horizontal="center" vertical="center"/>
    </xf>
    <xf numFmtId="0" fontId="19" fillId="0" borderId="12" xfId="34" applyFill="1" applyBorder="1" applyAlignment="1" applyProtection="1">
      <alignment horizontal="center" vertical="center"/>
    </xf>
    <xf numFmtId="0" fontId="49" fillId="30" borderId="16" xfId="0" applyFont="1" applyFill="1" applyBorder="1" applyAlignment="1">
      <alignment horizontal="center" vertical="center"/>
    </xf>
    <xf numFmtId="0" fontId="49" fillId="30" borderId="17" xfId="0" applyFont="1" applyFill="1" applyBorder="1" applyAlignment="1">
      <alignment horizontal="center" vertical="center"/>
    </xf>
    <xf numFmtId="0" fontId="49" fillId="30" borderId="23" xfId="0" applyFont="1" applyFill="1" applyBorder="1" applyAlignment="1">
      <alignment horizontal="center" vertical="center"/>
    </xf>
    <xf numFmtId="0" fontId="34" fillId="0" borderId="58" xfId="0" applyFont="1" applyBorder="1" applyAlignment="1" applyProtection="1">
      <alignment horizontal="center" vertical="center"/>
      <protection locked="0"/>
    </xf>
    <xf numFmtId="0" fontId="34" fillId="0" borderId="59" xfId="0" applyFont="1" applyBorder="1" applyAlignment="1" applyProtection="1">
      <alignment horizontal="center" vertical="center"/>
      <protection locked="0"/>
    </xf>
    <xf numFmtId="0" fontId="34" fillId="0" borderId="60" xfId="0" applyFont="1" applyBorder="1" applyAlignment="1" applyProtection="1">
      <alignment horizontal="center" vertical="center"/>
      <protection locked="0"/>
    </xf>
    <xf numFmtId="15" fontId="34" fillId="0" borderId="58" xfId="0" applyNumberFormat="1" applyFont="1" applyBorder="1" applyAlignment="1" applyProtection="1">
      <alignment horizontal="center" vertical="center"/>
      <protection locked="0"/>
    </xf>
    <xf numFmtId="15" fontId="34" fillId="0" borderId="59" xfId="0" applyNumberFormat="1" applyFont="1" applyBorder="1" applyAlignment="1" applyProtection="1">
      <alignment horizontal="center" vertical="center"/>
      <protection locked="0"/>
    </xf>
    <xf numFmtId="15" fontId="34" fillId="0" borderId="60" xfId="0" applyNumberFormat="1" applyFont="1" applyBorder="1" applyAlignment="1" applyProtection="1">
      <alignment horizontal="center" vertical="center"/>
      <protection locked="0"/>
    </xf>
    <xf numFmtId="0" fontId="35" fillId="0" borderId="0" xfId="0" applyFont="1" applyAlignment="1">
      <alignment horizontal="center" vertical="center"/>
    </xf>
    <xf numFmtId="0" fontId="48" fillId="26" borderId="61" xfId="0" applyFont="1" applyFill="1" applyBorder="1" applyAlignment="1">
      <alignment horizontal="center" vertical="center"/>
    </xf>
    <xf numFmtId="0" fontId="48" fillId="26" borderId="62" xfId="0" applyFont="1" applyFill="1" applyBorder="1" applyAlignment="1">
      <alignment horizontal="center" vertical="center"/>
    </xf>
    <xf numFmtId="0" fontId="34" fillId="0" borderId="11" xfId="0" applyFont="1" applyBorder="1" applyAlignment="1">
      <alignment horizontal="center" vertical="center"/>
    </xf>
    <xf numFmtId="0" fontId="34" fillId="0" borderId="0" xfId="0" applyFont="1" applyAlignment="1">
      <alignment horizontal="center" vertical="center"/>
    </xf>
    <xf numFmtId="0" fontId="34" fillId="0" borderId="12" xfId="0" applyFont="1" applyBorder="1" applyAlignment="1">
      <alignment horizontal="center" vertical="center"/>
    </xf>
    <xf numFmtId="0" fontId="33" fillId="0" borderId="16" xfId="0" applyFont="1" applyBorder="1" applyAlignment="1">
      <alignment horizontal="center" vertical="center"/>
    </xf>
    <xf numFmtId="0" fontId="33" fillId="0" borderId="17" xfId="0" applyFont="1" applyBorder="1" applyAlignment="1">
      <alignment horizontal="center" vertical="center"/>
    </xf>
    <xf numFmtId="0" fontId="33" fillId="0" borderId="23" xfId="0" applyFont="1" applyBorder="1" applyAlignment="1">
      <alignment horizontal="center" vertical="center"/>
    </xf>
    <xf numFmtId="0" fontId="34" fillId="25" borderId="16" xfId="0" applyFont="1" applyFill="1" applyBorder="1" applyAlignment="1">
      <alignment horizontal="center" vertical="center"/>
    </xf>
    <xf numFmtId="0" fontId="34" fillId="25" borderId="17" xfId="0" applyFont="1" applyFill="1" applyBorder="1" applyAlignment="1">
      <alignment horizontal="center" vertical="center"/>
    </xf>
    <xf numFmtId="0" fontId="34" fillId="25" borderId="23" xfId="0" applyFont="1" applyFill="1" applyBorder="1" applyAlignment="1">
      <alignment horizontal="center" vertical="center"/>
    </xf>
    <xf numFmtId="0" fontId="34" fillId="0" borderId="99" xfId="0" applyFont="1" applyBorder="1" applyAlignment="1">
      <alignment horizontal="center" vertical="center"/>
    </xf>
    <xf numFmtId="0" fontId="34" fillId="0" borderId="100" xfId="0" applyFont="1" applyBorder="1" applyAlignment="1">
      <alignment horizontal="center" vertical="center"/>
    </xf>
    <xf numFmtId="0" fontId="34" fillId="0" borderId="55" xfId="0" applyFont="1" applyBorder="1" applyAlignment="1">
      <alignment horizontal="center" vertical="center"/>
    </xf>
    <xf numFmtId="0" fontId="33" fillId="0" borderId="47" xfId="0" applyFont="1" applyBorder="1" applyAlignment="1" applyProtection="1">
      <alignment horizontal="center" vertical="center"/>
      <protection locked="0"/>
    </xf>
    <xf numFmtId="0" fontId="33" fillId="0" borderId="10" xfId="0" applyFont="1" applyBorder="1" applyAlignment="1" applyProtection="1">
      <alignment horizontal="center" vertical="center"/>
      <protection locked="0"/>
    </xf>
    <xf numFmtId="0" fontId="33" fillId="0" borderId="49" xfId="0" applyFont="1" applyBorder="1" applyAlignment="1" applyProtection="1">
      <alignment horizontal="center" vertical="center"/>
      <protection locked="0"/>
    </xf>
    <xf numFmtId="0" fontId="33" fillId="0" borderId="15" xfId="0" applyFont="1" applyBorder="1" applyAlignment="1" applyProtection="1">
      <alignment horizontal="center" vertical="center"/>
      <protection locked="0"/>
    </xf>
    <xf numFmtId="0" fontId="33" fillId="0" borderId="13" xfId="0" applyFont="1" applyBorder="1" applyAlignment="1" applyProtection="1">
      <alignment horizontal="center" vertical="center"/>
      <protection locked="0"/>
    </xf>
    <xf numFmtId="0" fontId="33" fillId="0" borderId="29" xfId="0" applyFont="1" applyBorder="1" applyAlignment="1" applyProtection="1">
      <alignment horizontal="center" vertical="center"/>
      <protection locked="0"/>
    </xf>
    <xf numFmtId="0" fontId="34" fillId="35" borderId="45" xfId="0" applyFont="1" applyFill="1" applyBorder="1" applyAlignment="1">
      <alignment horizontal="center" vertical="center"/>
    </xf>
    <xf numFmtId="0" fontId="34" fillId="35" borderId="33" xfId="0" applyFont="1" applyFill="1" applyBorder="1" applyAlignment="1">
      <alignment horizontal="center" vertical="center"/>
    </xf>
    <xf numFmtId="0" fontId="34" fillId="35" borderId="24" xfId="0" applyFont="1" applyFill="1" applyBorder="1" applyAlignment="1">
      <alignment horizontal="center" vertical="center"/>
    </xf>
    <xf numFmtId="0" fontId="34" fillId="0" borderId="52" xfId="0" applyFont="1" applyBorder="1" applyAlignment="1">
      <alignment horizontal="center" vertical="center"/>
    </xf>
    <xf numFmtId="0" fontId="34" fillId="0" borderId="53" xfId="0" applyFont="1" applyBorder="1" applyAlignment="1">
      <alignment horizontal="center" vertical="center"/>
    </xf>
    <xf numFmtId="0" fontId="4" fillId="0" borderId="10" xfId="0" applyFont="1" applyBorder="1" applyAlignment="1" applyProtection="1">
      <alignment horizontal="center" vertical="center" wrapText="1"/>
      <protection locked="0"/>
    </xf>
    <xf numFmtId="0" fontId="33" fillId="0" borderId="10" xfId="0" applyFont="1" applyBorder="1" applyAlignment="1" applyProtection="1">
      <alignment horizontal="center" vertical="center" wrapText="1"/>
      <protection locked="0"/>
    </xf>
    <xf numFmtId="0" fontId="34" fillId="34" borderId="47" xfId="0" applyFont="1" applyFill="1" applyBorder="1" applyAlignment="1">
      <alignment horizontal="center" vertical="center" wrapText="1"/>
    </xf>
    <xf numFmtId="0" fontId="34" fillId="34" borderId="10" xfId="0" applyFont="1" applyFill="1" applyBorder="1" applyAlignment="1">
      <alignment horizontal="center" vertical="center" wrapText="1"/>
    </xf>
    <xf numFmtId="0" fontId="34" fillId="25" borderId="92" xfId="0" applyFont="1" applyFill="1" applyBorder="1" applyAlignment="1">
      <alignment horizontal="center" vertical="center"/>
    </xf>
    <xf numFmtId="0" fontId="34" fillId="25" borderId="107" xfId="0" applyFont="1" applyFill="1" applyBorder="1" applyAlignment="1">
      <alignment horizontal="center" vertical="center"/>
    </xf>
    <xf numFmtId="0" fontId="34" fillId="25" borderId="56" xfId="0" applyFont="1" applyFill="1" applyBorder="1" applyAlignment="1">
      <alignment horizontal="center" vertical="center"/>
    </xf>
    <xf numFmtId="0" fontId="34" fillId="0" borderId="32" xfId="0" applyFont="1" applyBorder="1" applyAlignment="1">
      <alignment horizontal="center" vertical="center"/>
    </xf>
    <xf numFmtId="0" fontId="34" fillId="0" borderId="25" xfId="0" applyFont="1" applyBorder="1" applyAlignment="1">
      <alignment horizontal="center" vertical="center"/>
    </xf>
    <xf numFmtId="0" fontId="34" fillId="0" borderId="26" xfId="0" applyFont="1" applyBorder="1" applyAlignment="1">
      <alignment horizontal="center" vertical="center"/>
    </xf>
    <xf numFmtId="0" fontId="34" fillId="0" borderId="10" xfId="0" applyFont="1" applyBorder="1" applyAlignment="1">
      <alignment horizontal="center" vertical="center"/>
    </xf>
    <xf numFmtId="0" fontId="34" fillId="25" borderId="22" xfId="0" applyFont="1" applyFill="1" applyBorder="1" applyAlignment="1">
      <alignment horizontal="center" vertical="center" wrapText="1"/>
    </xf>
    <xf numFmtId="0" fontId="34" fillId="0" borderId="22" xfId="0" applyFont="1" applyBorder="1" applyAlignment="1">
      <alignment vertical="center"/>
    </xf>
    <xf numFmtId="0" fontId="34" fillId="0" borderId="31" xfId="0" applyFont="1" applyBorder="1" applyAlignment="1">
      <alignment vertical="center"/>
    </xf>
    <xf numFmtId="0" fontId="34" fillId="31" borderId="21" xfId="0" applyFont="1" applyFill="1" applyBorder="1" applyAlignment="1">
      <alignment horizontal="center" vertical="center" wrapText="1"/>
    </xf>
    <xf numFmtId="0" fontId="34" fillId="31" borderId="22" xfId="0" applyFont="1" applyFill="1" applyBorder="1" applyAlignment="1">
      <alignment horizontal="center" vertical="center" wrapText="1"/>
    </xf>
    <xf numFmtId="0" fontId="34" fillId="31" borderId="31" xfId="0" applyFont="1" applyFill="1" applyBorder="1" applyAlignment="1">
      <alignment horizontal="center" vertical="center" wrapText="1"/>
    </xf>
    <xf numFmtId="166" fontId="34" fillId="0" borderId="21" xfId="0" applyNumberFormat="1" applyFont="1" applyBorder="1" applyAlignment="1" applyProtection="1">
      <alignment horizontal="center" vertical="center"/>
      <protection locked="0"/>
    </xf>
    <xf numFmtId="166" fontId="34" fillId="0" borderId="22" xfId="0" applyNumberFormat="1" applyFont="1" applyBorder="1" applyAlignment="1" applyProtection="1">
      <alignment horizontal="center" vertical="center"/>
      <protection locked="0"/>
    </xf>
    <xf numFmtId="166" fontId="34" fillId="0" borderId="31" xfId="0" applyNumberFormat="1" applyFont="1" applyBorder="1" applyAlignment="1" applyProtection="1">
      <alignment horizontal="center" vertical="center"/>
      <protection locked="0"/>
    </xf>
    <xf numFmtId="0" fontId="6" fillId="0" borderId="10" xfId="0" applyFont="1" applyBorder="1" applyAlignment="1" applyProtection="1">
      <alignment horizontal="center" vertical="center" wrapText="1"/>
      <protection locked="0"/>
    </xf>
    <xf numFmtId="0" fontId="34" fillId="47" borderId="10" xfId="0" applyFont="1" applyFill="1" applyBorder="1" applyAlignment="1">
      <alignment horizontal="center" vertical="center" wrapText="1"/>
    </xf>
    <xf numFmtId="9" fontId="25" fillId="0" borderId="10" xfId="0" applyNumberFormat="1" applyFont="1" applyBorder="1" applyAlignment="1">
      <alignment horizontal="center" vertical="center"/>
    </xf>
    <xf numFmtId="9" fontId="25" fillId="0" borderId="13" xfId="0" applyNumberFormat="1" applyFont="1" applyBorder="1" applyAlignment="1">
      <alignment horizontal="center" vertical="center"/>
    </xf>
    <xf numFmtId="1" fontId="25" fillId="0" borderId="32" xfId="40" applyNumberFormat="1" applyFont="1" applyFill="1" applyBorder="1" applyAlignment="1" applyProtection="1">
      <alignment horizontal="center" vertical="center"/>
    </xf>
    <xf numFmtId="1" fontId="25" fillId="0" borderId="27" xfId="40" applyNumberFormat="1" applyFont="1" applyFill="1" applyBorder="1" applyAlignment="1" applyProtection="1">
      <alignment horizontal="center" vertical="center"/>
    </xf>
    <xf numFmtId="0" fontId="34" fillId="25" borderId="99" xfId="0" applyFont="1" applyFill="1" applyBorder="1" applyAlignment="1">
      <alignment horizontal="center" vertical="center" wrapText="1"/>
    </xf>
    <xf numFmtId="0" fontId="34" fillId="25" borderId="100" xfId="0" applyFont="1" applyFill="1" applyBorder="1" applyAlignment="1">
      <alignment horizontal="center" vertical="center" wrapText="1"/>
    </xf>
    <xf numFmtId="0" fontId="34" fillId="25" borderId="55" xfId="0" applyFont="1" applyFill="1" applyBorder="1" applyAlignment="1">
      <alignment horizontal="center" vertical="center" wrapText="1"/>
    </xf>
    <xf numFmtId="0" fontId="49" fillId="32" borderId="16" xfId="0" applyFont="1" applyFill="1" applyBorder="1" applyAlignment="1">
      <alignment horizontal="center" vertical="center"/>
    </xf>
    <xf numFmtId="0" fontId="49" fillId="32" borderId="17" xfId="0" applyFont="1" applyFill="1" applyBorder="1" applyAlignment="1">
      <alignment horizontal="center" vertical="center"/>
    </xf>
    <xf numFmtId="0" fontId="49" fillId="32" borderId="23" xfId="0" applyFont="1" applyFill="1" applyBorder="1" applyAlignment="1">
      <alignment horizontal="center" vertical="center"/>
    </xf>
    <xf numFmtId="0" fontId="35" fillId="25" borderId="16" xfId="0" applyFont="1" applyFill="1" applyBorder="1" applyAlignment="1">
      <alignment horizontal="right" vertical="center"/>
    </xf>
    <xf numFmtId="0" fontId="35" fillId="25" borderId="17" xfId="0" applyFont="1" applyFill="1" applyBorder="1" applyAlignment="1">
      <alignment horizontal="right" vertical="center"/>
    </xf>
    <xf numFmtId="0" fontId="35" fillId="25" borderId="23" xfId="0" applyFont="1" applyFill="1" applyBorder="1" applyAlignment="1">
      <alignment horizontal="right" vertical="center"/>
    </xf>
    <xf numFmtId="0" fontId="34" fillId="25" borderId="33" xfId="0" applyFont="1" applyFill="1" applyBorder="1" applyAlignment="1">
      <alignment horizontal="center" vertical="center"/>
    </xf>
    <xf numFmtId="0" fontId="34" fillId="25" borderId="33" xfId="0" applyFont="1" applyFill="1" applyBorder="1" applyAlignment="1">
      <alignment horizontal="center" vertical="center" wrapText="1"/>
    </xf>
    <xf numFmtId="0" fontId="39" fillId="0" borderId="11" xfId="0" applyFont="1" applyBorder="1" applyAlignment="1">
      <alignment horizontal="center" vertical="center" wrapText="1"/>
    </xf>
    <xf numFmtId="0" fontId="39" fillId="0" borderId="0" xfId="0" applyFont="1" applyAlignment="1">
      <alignment horizontal="center" vertical="center" wrapText="1"/>
    </xf>
    <xf numFmtId="0" fontId="39" fillId="0" borderId="12" xfId="0" applyFont="1" applyBorder="1" applyAlignment="1">
      <alignment horizontal="center" vertical="center" wrapText="1"/>
    </xf>
    <xf numFmtId="0" fontId="4" fillId="0" borderId="52" xfId="0" applyFont="1" applyBorder="1" applyAlignment="1" applyProtection="1">
      <alignment horizontal="center" vertical="center" wrapText="1"/>
      <protection locked="0"/>
    </xf>
    <xf numFmtId="0" fontId="33" fillId="0" borderId="52" xfId="0" applyFont="1" applyBorder="1" applyAlignment="1" applyProtection="1">
      <alignment horizontal="center" vertical="center" wrapText="1"/>
      <protection locked="0"/>
    </xf>
    <xf numFmtId="0" fontId="34" fillId="25" borderId="36" xfId="0" applyFont="1" applyFill="1" applyBorder="1" applyAlignment="1">
      <alignment horizontal="center" vertical="center"/>
    </xf>
    <xf numFmtId="0" fontId="34" fillId="25" borderId="35" xfId="0" applyFont="1" applyFill="1" applyBorder="1" applyAlignment="1">
      <alignment horizontal="center" vertical="center"/>
    </xf>
    <xf numFmtId="0" fontId="33" fillId="0" borderId="36" xfId="0" applyFont="1" applyBorder="1" applyAlignment="1" applyProtection="1">
      <alignment horizontal="center" vertical="center"/>
      <protection locked="0"/>
    </xf>
    <xf numFmtId="0" fontId="33" fillId="0" borderId="35" xfId="0" applyFont="1" applyBorder="1" applyAlignment="1" applyProtection="1">
      <alignment horizontal="center" vertical="center"/>
      <protection locked="0"/>
    </xf>
    <xf numFmtId="0" fontId="33" fillId="0" borderId="11" xfId="0" applyFont="1" applyBorder="1" applyAlignment="1">
      <alignment horizontal="center" vertical="center"/>
    </xf>
    <xf numFmtId="0" fontId="33" fillId="0" borderId="0" xfId="0" applyFont="1" applyAlignment="1">
      <alignment horizontal="center" vertical="center"/>
    </xf>
    <xf numFmtId="0" fontId="33" fillId="0" borderId="12" xfId="0" applyFont="1" applyBorder="1" applyAlignment="1">
      <alignment horizontal="center" vertical="center"/>
    </xf>
    <xf numFmtId="0" fontId="34" fillId="25" borderId="37" xfId="0" applyFont="1" applyFill="1" applyBorder="1" applyAlignment="1">
      <alignment horizontal="center" vertical="center"/>
    </xf>
    <xf numFmtId="9" fontId="34" fillId="0" borderId="21" xfId="40" applyFont="1" applyFill="1" applyBorder="1" applyAlignment="1" applyProtection="1">
      <alignment horizontal="center" vertical="center"/>
      <protection locked="0"/>
    </xf>
    <xf numFmtId="9" fontId="34" fillId="0" borderId="31" xfId="40" applyFont="1" applyFill="1" applyBorder="1" applyAlignment="1" applyProtection="1">
      <alignment horizontal="center" vertical="center"/>
      <protection locked="0"/>
    </xf>
    <xf numFmtId="0" fontId="34" fillId="35" borderId="47" xfId="0" applyFont="1" applyFill="1" applyBorder="1" applyAlignment="1">
      <alignment horizontal="center" vertical="center" wrapText="1"/>
    </xf>
    <xf numFmtId="0" fontId="34" fillId="35" borderId="10" xfId="0" applyFont="1" applyFill="1" applyBorder="1" applyAlignment="1">
      <alignment horizontal="center" vertical="center" wrapText="1"/>
    </xf>
    <xf numFmtId="0" fontId="34" fillId="0" borderId="47" xfId="0" applyFont="1" applyBorder="1" applyAlignment="1">
      <alignment horizontal="center" vertical="center" wrapText="1"/>
    </xf>
    <xf numFmtId="0" fontId="34" fillId="0" borderId="10" xfId="0" applyFont="1" applyBorder="1" applyAlignment="1">
      <alignment horizontal="center" vertical="center" wrapText="1"/>
    </xf>
    <xf numFmtId="0" fontId="34" fillId="35" borderId="49" xfId="0" applyFont="1" applyFill="1" applyBorder="1" applyAlignment="1">
      <alignment horizontal="center" vertical="center" wrapText="1"/>
    </xf>
    <xf numFmtId="0" fontId="34" fillId="35" borderId="15" xfId="0" applyFont="1" applyFill="1" applyBorder="1" applyAlignment="1">
      <alignment horizontal="center" vertical="center" wrapText="1"/>
    </xf>
    <xf numFmtId="1" fontId="34" fillId="0" borderId="26" xfId="40" applyNumberFormat="1" applyFont="1" applyBorder="1" applyAlignment="1" applyProtection="1">
      <alignment horizontal="center" vertical="center"/>
      <protection locked="0"/>
    </xf>
    <xf numFmtId="0" fontId="33" fillId="0" borderId="10" xfId="0" applyFont="1" applyBorder="1" applyAlignment="1">
      <alignment horizontal="center" vertical="center" wrapText="1"/>
    </xf>
    <xf numFmtId="0" fontId="33" fillId="0" borderId="114" xfId="0" applyFont="1" applyBorder="1" applyAlignment="1">
      <alignment horizontal="center" vertical="center" wrapText="1"/>
    </xf>
    <xf numFmtId="0" fontId="33" fillId="0" borderId="28"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25" xfId="0" applyFont="1" applyBorder="1" applyAlignment="1">
      <alignment horizontal="center" vertical="center" wrapText="1"/>
    </xf>
    <xf numFmtId="0" fontId="33" fillId="0" borderId="26" xfId="0" applyFont="1" applyBorder="1" applyAlignment="1">
      <alignment horizontal="center" vertical="center" wrapText="1"/>
    </xf>
    <xf numFmtId="0" fontId="34" fillId="25" borderId="91" xfId="0" applyFont="1" applyFill="1" applyBorder="1" applyAlignment="1" applyProtection="1">
      <alignment horizontal="center" vertical="center"/>
      <protection locked="0"/>
    </xf>
    <xf numFmtId="0" fontId="34" fillId="25" borderId="91" xfId="0" applyFont="1" applyFill="1" applyBorder="1" applyAlignment="1" applyProtection="1">
      <alignment horizontal="center" vertical="center" wrapText="1"/>
      <protection locked="0"/>
    </xf>
    <xf numFmtId="0" fontId="4" fillId="0" borderId="10" xfId="0" applyFont="1" applyBorder="1" applyAlignment="1">
      <alignment horizontal="center" vertical="center" wrapText="1"/>
    </xf>
    <xf numFmtId="0" fontId="33" fillId="0" borderId="13" xfId="0" applyFont="1" applyBorder="1" applyAlignment="1">
      <alignment horizontal="center" vertical="center" wrapText="1"/>
    </xf>
    <xf numFmtId="0" fontId="4" fillId="35" borderId="10" xfId="0" applyFont="1" applyFill="1" applyBorder="1" applyAlignment="1">
      <alignment horizontal="center" vertical="center" wrapText="1"/>
    </xf>
    <xf numFmtId="0" fontId="33" fillId="35" borderId="10" xfId="0" applyFont="1" applyFill="1" applyBorder="1" applyAlignment="1">
      <alignment horizontal="center" vertical="center" wrapText="1"/>
    </xf>
    <xf numFmtId="0" fontId="33" fillId="35" borderId="13" xfId="0" applyFont="1" applyFill="1" applyBorder="1" applyAlignment="1">
      <alignment horizontal="center" vertical="center" wrapText="1"/>
    </xf>
    <xf numFmtId="0" fontId="34" fillId="35" borderId="10" xfId="0" applyFont="1" applyFill="1" applyBorder="1" applyAlignment="1" applyProtection="1">
      <alignment horizontal="center" vertical="center"/>
      <protection locked="0"/>
    </xf>
    <xf numFmtId="0" fontId="34" fillId="0" borderId="10" xfId="0" applyFont="1" applyBorder="1" applyAlignment="1" applyProtection="1">
      <alignment horizontal="center" vertical="center"/>
      <protection locked="0"/>
    </xf>
    <xf numFmtId="0" fontId="4" fillId="35" borderId="15" xfId="0" applyFont="1" applyFill="1" applyBorder="1" applyAlignment="1">
      <alignment horizontal="center" vertical="center" wrapText="1"/>
    </xf>
    <xf numFmtId="0" fontId="33" fillId="35" borderId="15" xfId="0" applyFont="1" applyFill="1" applyBorder="1" applyAlignment="1">
      <alignment horizontal="center" vertical="center" wrapText="1"/>
    </xf>
    <xf numFmtId="0" fontId="33" fillId="35" borderId="29" xfId="0" applyFont="1" applyFill="1" applyBorder="1" applyAlignment="1">
      <alignment horizontal="center" vertical="center" wrapText="1"/>
    </xf>
    <xf numFmtId="0" fontId="4" fillId="35" borderId="32" xfId="0" applyFont="1" applyFill="1" applyBorder="1" applyAlignment="1">
      <alignment horizontal="center" vertical="center" wrapText="1"/>
    </xf>
    <xf numFmtId="0" fontId="4" fillId="35" borderId="25" xfId="0" applyFont="1" applyFill="1" applyBorder="1" applyAlignment="1">
      <alignment horizontal="center" vertical="center" wrapText="1"/>
    </xf>
    <xf numFmtId="0" fontId="4" fillId="35" borderId="27" xfId="0" applyFont="1" applyFill="1" applyBorder="1" applyAlignment="1">
      <alignment horizontal="center" vertical="center" wrapText="1"/>
    </xf>
    <xf numFmtId="0" fontId="4" fillId="35" borderId="13" xfId="0" applyFont="1" applyFill="1" applyBorder="1" applyAlignment="1">
      <alignment horizontal="center" vertical="center" wrapText="1"/>
    </xf>
    <xf numFmtId="0" fontId="33" fillId="47" borderId="32" xfId="0" applyFont="1" applyFill="1" applyBorder="1" applyAlignment="1">
      <alignment horizontal="center" vertical="center" wrapText="1"/>
    </xf>
    <xf numFmtId="0" fontId="33" fillId="47" borderId="26" xfId="0" applyFont="1" applyFill="1" applyBorder="1" applyAlignment="1">
      <alignment horizontal="center" vertical="center" wrapText="1"/>
    </xf>
    <xf numFmtId="1" fontId="33" fillId="0" borderId="95" xfId="0" applyNumberFormat="1" applyFont="1" applyBorder="1" applyAlignment="1">
      <alignment horizontal="center" vertical="center" wrapText="1"/>
    </xf>
    <xf numFmtId="1" fontId="33" fillId="0" borderId="97" xfId="0" applyNumberFormat="1" applyFont="1" applyBorder="1" applyAlignment="1">
      <alignment horizontal="center" vertical="center" wrapText="1"/>
    </xf>
    <xf numFmtId="1" fontId="33" fillId="0" borderId="106" xfId="0" applyNumberFormat="1" applyFont="1" applyBorder="1" applyAlignment="1">
      <alignment horizontal="center" vertical="center" wrapText="1"/>
    </xf>
    <xf numFmtId="1" fontId="33" fillId="0" borderId="103" xfId="0" applyNumberFormat="1" applyFont="1" applyBorder="1" applyAlignment="1">
      <alignment horizontal="center" vertical="center" wrapText="1"/>
    </xf>
    <xf numFmtId="1" fontId="33" fillId="47" borderId="95" xfId="0" applyNumberFormat="1" applyFont="1" applyFill="1" applyBorder="1" applyAlignment="1">
      <alignment horizontal="center" vertical="center" wrapText="1"/>
    </xf>
    <xf numFmtId="1" fontId="33" fillId="47" borderId="97" xfId="0" applyNumberFormat="1" applyFont="1" applyFill="1" applyBorder="1" applyAlignment="1">
      <alignment horizontal="center" vertical="center" wrapText="1"/>
    </xf>
    <xf numFmtId="1" fontId="33" fillId="47" borderId="106" xfId="0" applyNumberFormat="1" applyFont="1" applyFill="1" applyBorder="1" applyAlignment="1">
      <alignment horizontal="center" vertical="center" wrapText="1"/>
    </xf>
    <xf numFmtId="1" fontId="33" fillId="47" borderId="103" xfId="0" applyNumberFormat="1" applyFont="1" applyFill="1" applyBorder="1" applyAlignment="1">
      <alignment horizontal="center" vertical="center" wrapText="1"/>
    </xf>
    <xf numFmtId="1" fontId="33" fillId="47" borderId="14" xfId="0" applyNumberFormat="1" applyFont="1" applyFill="1" applyBorder="1" applyAlignment="1">
      <alignment horizontal="center" vertical="center" wrapText="1"/>
    </xf>
    <xf numFmtId="1" fontId="33" fillId="47" borderId="30" xfId="0" applyNumberFormat="1" applyFont="1" applyFill="1" applyBorder="1" applyAlignment="1">
      <alignment horizontal="center" vertical="center" wrapText="1"/>
    </xf>
    <xf numFmtId="1" fontId="33" fillId="0" borderId="14" xfId="0" applyNumberFormat="1" applyFont="1" applyBorder="1" applyAlignment="1">
      <alignment horizontal="center" vertical="center" wrapText="1"/>
    </xf>
    <xf numFmtId="1" fontId="33" fillId="0" borderId="30" xfId="0" applyNumberFormat="1" applyFont="1" applyBorder="1" applyAlignment="1">
      <alignment horizontal="center" vertical="center" wrapText="1"/>
    </xf>
    <xf numFmtId="0" fontId="33" fillId="47" borderId="25" xfId="0" applyFont="1" applyFill="1" applyBorder="1" applyAlignment="1">
      <alignment horizontal="center" vertical="center" wrapText="1"/>
    </xf>
    <xf numFmtId="0" fontId="35" fillId="31" borderId="64" xfId="0" applyFont="1" applyFill="1" applyBorder="1" applyAlignment="1" applyProtection="1">
      <alignment horizontal="right" vertical="center"/>
      <protection locked="0"/>
    </xf>
    <xf numFmtId="0" fontId="35" fillId="31" borderId="0" xfId="0" applyFont="1" applyFill="1" applyAlignment="1" applyProtection="1">
      <alignment horizontal="right" vertical="center"/>
      <protection locked="0"/>
    </xf>
    <xf numFmtId="0" fontId="35" fillId="31" borderId="12" xfId="0" applyFont="1" applyFill="1" applyBorder="1" applyAlignment="1" applyProtection="1">
      <alignment horizontal="right" vertical="center"/>
      <protection locked="0"/>
    </xf>
    <xf numFmtId="0" fontId="34" fillId="25" borderId="101" xfId="0" applyFont="1" applyFill="1" applyBorder="1" applyAlignment="1">
      <alignment horizontal="center" vertical="center" wrapText="1"/>
    </xf>
    <xf numFmtId="0" fontId="34" fillId="25" borderId="101" xfId="0" applyFont="1" applyFill="1" applyBorder="1" applyAlignment="1">
      <alignment horizontal="center" vertical="center"/>
    </xf>
    <xf numFmtId="0" fontId="34" fillId="25" borderId="100" xfId="0" applyFont="1" applyFill="1" applyBorder="1" applyAlignment="1">
      <alignment horizontal="center" vertical="center"/>
    </xf>
    <xf numFmtId="0" fontId="34" fillId="25" borderId="55" xfId="0" applyFont="1" applyFill="1" applyBorder="1" applyAlignment="1">
      <alignment horizontal="center" vertical="center"/>
    </xf>
    <xf numFmtId="0" fontId="33" fillId="0" borderId="30" xfId="0" applyFont="1" applyBorder="1" applyAlignment="1">
      <alignment horizontal="center" vertical="center" wrapText="1"/>
    </xf>
    <xf numFmtId="0" fontId="49" fillId="32" borderId="21" xfId="0" applyFont="1" applyFill="1" applyBorder="1" applyAlignment="1">
      <alignment horizontal="left" vertical="center"/>
    </xf>
    <xf numFmtId="0" fontId="49" fillId="32" borderId="22" xfId="0" applyFont="1" applyFill="1" applyBorder="1" applyAlignment="1">
      <alignment horizontal="left" vertical="center"/>
    </xf>
    <xf numFmtId="0" fontId="49" fillId="32" borderId="31" xfId="0" applyFont="1" applyFill="1" applyBorder="1" applyAlignment="1">
      <alignment horizontal="left" vertical="center"/>
    </xf>
    <xf numFmtId="0" fontId="33" fillId="0" borderId="10" xfId="0" applyFont="1" applyBorder="1" applyAlignment="1" applyProtection="1">
      <alignment vertical="center" wrapText="1"/>
      <protection locked="0"/>
    </xf>
    <xf numFmtId="0" fontId="33" fillId="0" borderId="30" xfId="0" applyFont="1" applyBorder="1" applyAlignment="1" applyProtection="1">
      <alignment horizontal="center" vertical="center" wrapText="1"/>
      <protection locked="0"/>
    </xf>
    <xf numFmtId="0" fontId="34" fillId="0" borderId="101" xfId="0" applyFont="1" applyBorder="1" applyAlignment="1">
      <alignment horizontal="center" vertical="center"/>
    </xf>
    <xf numFmtId="0" fontId="34" fillId="0" borderId="102" xfId="0" applyFont="1" applyBorder="1" applyAlignment="1">
      <alignment horizontal="center" vertical="center"/>
    </xf>
    <xf numFmtId="1" fontId="33" fillId="0" borderId="10" xfId="0" applyNumberFormat="1" applyFont="1" applyBorder="1" applyAlignment="1">
      <alignment horizontal="center" vertical="center" wrapText="1"/>
    </xf>
    <xf numFmtId="0" fontId="34" fillId="25" borderId="32" xfId="0" applyFont="1" applyFill="1" applyBorder="1" applyAlignment="1">
      <alignment horizontal="center" vertical="center"/>
    </xf>
    <xf numFmtId="0" fontId="34" fillId="25" borderId="25" xfId="0" applyFont="1" applyFill="1" applyBorder="1" applyAlignment="1">
      <alignment horizontal="center" vertical="center"/>
    </xf>
    <xf numFmtId="0" fontId="34" fillId="25" borderId="26" xfId="0" applyFont="1" applyFill="1" applyBorder="1" applyAlignment="1">
      <alignment horizontal="center" vertical="center"/>
    </xf>
    <xf numFmtId="0" fontId="35" fillId="25" borderId="10" xfId="0" applyFont="1" applyFill="1" applyBorder="1" applyAlignment="1">
      <alignment horizontal="right" vertical="center"/>
    </xf>
    <xf numFmtId="0" fontId="35" fillId="25" borderId="32" xfId="0" applyFont="1" applyFill="1" applyBorder="1" applyAlignment="1">
      <alignment horizontal="right" vertical="center"/>
    </xf>
    <xf numFmtId="0" fontId="34" fillId="25" borderId="64" xfId="0" applyFont="1" applyFill="1" applyBorder="1" applyAlignment="1">
      <alignment horizontal="center" vertical="center" wrapText="1"/>
    </xf>
    <xf numFmtId="0" fontId="34" fillId="25" borderId="0" xfId="0" applyFont="1" applyFill="1" applyAlignment="1">
      <alignment horizontal="center" vertical="center" wrapText="1"/>
    </xf>
    <xf numFmtId="0" fontId="34" fillId="25" borderId="65" xfId="0" applyFont="1" applyFill="1" applyBorder="1" applyAlignment="1">
      <alignment horizontal="center" vertical="center" wrapText="1"/>
    </xf>
    <xf numFmtId="0" fontId="34" fillId="35" borderId="36" xfId="0" applyFont="1" applyFill="1" applyBorder="1" applyAlignment="1">
      <alignment horizontal="center" vertical="center"/>
    </xf>
    <xf numFmtId="0" fontId="34" fillId="35" borderId="37" xfId="0" applyFont="1" applyFill="1" applyBorder="1" applyAlignment="1">
      <alignment horizontal="center" vertical="center"/>
    </xf>
    <xf numFmtId="0" fontId="34" fillId="35" borderId="23" xfId="0" applyFont="1" applyFill="1" applyBorder="1" applyAlignment="1">
      <alignment horizontal="center" vertical="center"/>
    </xf>
    <xf numFmtId="0" fontId="35" fillId="25" borderId="96" xfId="0" applyFont="1" applyFill="1" applyBorder="1" applyAlignment="1">
      <alignment horizontal="right" vertical="center"/>
    </xf>
    <xf numFmtId="0" fontId="33" fillId="0" borderId="98" xfId="0" applyFont="1" applyBorder="1" applyAlignment="1" applyProtection="1">
      <alignment horizontal="center" vertical="center"/>
      <protection locked="0"/>
    </xf>
    <xf numFmtId="0" fontId="35" fillId="25" borderId="25" xfId="0" applyFont="1" applyFill="1" applyBorder="1" applyAlignment="1">
      <alignment horizontal="right" vertical="center"/>
    </xf>
    <xf numFmtId="0" fontId="35" fillId="25" borderId="26" xfId="0" applyFont="1" applyFill="1" applyBorder="1" applyAlignment="1">
      <alignment horizontal="right" vertical="center"/>
    </xf>
    <xf numFmtId="0" fontId="33" fillId="0" borderId="12" xfId="0" applyFont="1" applyBorder="1" applyAlignment="1" applyProtection="1">
      <alignment horizontal="center" vertical="center"/>
      <protection locked="0"/>
    </xf>
    <xf numFmtId="1" fontId="25" fillId="0" borderId="25" xfId="40" applyNumberFormat="1" applyFont="1" applyFill="1" applyBorder="1" applyAlignment="1" applyProtection="1">
      <alignment horizontal="center" vertical="center"/>
    </xf>
    <xf numFmtId="1" fontId="25" fillId="0" borderId="26" xfId="40" applyNumberFormat="1" applyFont="1" applyFill="1" applyBorder="1" applyAlignment="1" applyProtection="1">
      <alignment horizontal="center" vertical="center"/>
    </xf>
    <xf numFmtId="0" fontId="35" fillId="0" borderId="32" xfId="0" applyFont="1" applyBorder="1" applyAlignment="1">
      <alignment horizontal="center" vertical="center"/>
    </xf>
    <xf numFmtId="0" fontId="35" fillId="0" borderId="25" xfId="0" applyFont="1" applyBorder="1" applyAlignment="1">
      <alignment horizontal="center" vertical="center"/>
    </xf>
    <xf numFmtId="0" fontId="35" fillId="0" borderId="26" xfId="0" applyFont="1" applyBorder="1" applyAlignment="1">
      <alignment horizontal="center" vertical="center"/>
    </xf>
    <xf numFmtId="9" fontId="72" fillId="0" borderId="32" xfId="0" applyNumberFormat="1" applyFont="1" applyBorder="1" applyAlignment="1">
      <alignment horizontal="center" vertical="center"/>
    </xf>
    <xf numFmtId="9" fontId="72" fillId="0" borderId="25" xfId="0" applyNumberFormat="1" applyFont="1" applyBorder="1" applyAlignment="1">
      <alignment horizontal="center" vertical="center"/>
    </xf>
    <xf numFmtId="9" fontId="72" fillId="0" borderId="26" xfId="0" applyNumberFormat="1" applyFont="1" applyBorder="1" applyAlignment="1">
      <alignment horizontal="center" vertical="center"/>
    </xf>
    <xf numFmtId="0" fontId="35" fillId="31" borderId="95" xfId="0" applyFont="1" applyFill="1" applyBorder="1" applyAlignment="1" applyProtection="1">
      <alignment horizontal="right" vertical="center"/>
      <protection locked="0"/>
    </xf>
    <xf numFmtId="0" fontId="35" fillId="31" borderId="96" xfId="0" applyFont="1" applyFill="1" applyBorder="1" applyAlignment="1" applyProtection="1">
      <alignment horizontal="right" vertical="center"/>
      <protection locked="0"/>
    </xf>
    <xf numFmtId="0" fontId="35" fillId="31" borderId="98" xfId="0" applyFont="1" applyFill="1" applyBorder="1" applyAlignment="1" applyProtection="1">
      <alignment horizontal="right" vertical="center"/>
      <protection locked="0"/>
    </xf>
    <xf numFmtId="0" fontId="78" fillId="0" borderId="32" xfId="0" applyFont="1" applyBorder="1" applyAlignment="1">
      <alignment horizontal="center" vertical="center"/>
    </xf>
    <xf numFmtId="0" fontId="78" fillId="0" borderId="25" xfId="0" applyFont="1" applyBorder="1" applyAlignment="1">
      <alignment horizontal="center" vertical="center"/>
    </xf>
    <xf numFmtId="0" fontId="78" fillId="0" borderId="26" xfId="0" applyFont="1" applyBorder="1" applyAlignment="1">
      <alignment horizontal="center" vertical="center"/>
    </xf>
    <xf numFmtId="0" fontId="35" fillId="0" borderId="95" xfId="0" applyFont="1" applyBorder="1" applyAlignment="1">
      <alignment horizontal="center" vertical="center" wrapText="1"/>
    </xf>
    <xf numFmtId="0" fontId="35" fillId="0" borderId="96" xfId="0" applyFont="1" applyBorder="1" applyAlignment="1">
      <alignment horizontal="center" vertical="center" wrapText="1"/>
    </xf>
    <xf numFmtId="0" fontId="35" fillId="0" borderId="97" xfId="0" applyFont="1" applyBorder="1" applyAlignment="1">
      <alignment horizontal="center" vertical="center" wrapText="1"/>
    </xf>
    <xf numFmtId="0" fontId="35" fillId="0" borderId="106" xfId="0" applyFont="1" applyBorder="1" applyAlignment="1">
      <alignment horizontal="center" vertical="center" wrapText="1"/>
    </xf>
    <xf numFmtId="0" fontId="35" fillId="0" borderId="63" xfId="0" applyFont="1" applyBorder="1" applyAlignment="1">
      <alignment horizontal="center" vertical="center" wrapText="1"/>
    </xf>
    <xf numFmtId="0" fontId="35" fillId="0" borderId="103" xfId="0" applyFont="1" applyBorder="1" applyAlignment="1">
      <alignment horizontal="center" vertical="center" wrapText="1"/>
    </xf>
    <xf numFmtId="0" fontId="34" fillId="0" borderId="107" xfId="0" applyFont="1" applyBorder="1" applyAlignment="1">
      <alignment horizontal="center" vertical="center"/>
    </xf>
    <xf numFmtId="0" fontId="34" fillId="0" borderId="91" xfId="0" applyFont="1" applyBorder="1" applyAlignment="1">
      <alignment horizontal="center" vertical="center"/>
    </xf>
    <xf numFmtId="0" fontId="59" fillId="28" borderId="10" xfId="0" applyFont="1" applyFill="1" applyBorder="1" applyAlignment="1">
      <alignment horizontal="center" vertical="top" wrapText="1"/>
    </xf>
    <xf numFmtId="0" fontId="59" fillId="28" borderId="10" xfId="0" applyFont="1" applyFill="1" applyBorder="1" applyAlignment="1">
      <alignment horizontal="center" vertical="top"/>
    </xf>
    <xf numFmtId="0" fontId="0" fillId="0" borderId="0" xfId="0" applyAlignment="1">
      <alignment horizontal="center" vertical="center" textRotation="90"/>
    </xf>
    <xf numFmtId="0" fontId="0" fillId="0" borderId="65" xfId="0" applyBorder="1" applyAlignment="1">
      <alignment horizontal="center" vertical="center" textRotation="90"/>
    </xf>
    <xf numFmtId="0" fontId="58" fillId="33" borderId="0" xfId="0" applyFont="1" applyFill="1" applyAlignment="1">
      <alignment horizontal="left" vertical="center" indent="1"/>
    </xf>
    <xf numFmtId="0" fontId="59" fillId="33" borderId="97" xfId="0" applyFont="1" applyFill="1" applyBorder="1" applyAlignment="1">
      <alignment horizontal="center" vertical="center" textRotation="90"/>
    </xf>
    <xf numFmtId="0" fontId="59" fillId="33" borderId="65" xfId="0" applyFont="1" applyFill="1" applyBorder="1" applyAlignment="1">
      <alignment horizontal="center" vertical="center" textRotation="90"/>
    </xf>
    <xf numFmtId="0" fontId="59" fillId="33" borderId="10" xfId="0" applyFont="1" applyFill="1" applyBorder="1" applyAlignment="1">
      <alignment horizontal="center" vertical="center" textRotation="90"/>
    </xf>
    <xf numFmtId="49" fontId="59" fillId="33" borderId="14" xfId="0" applyNumberFormat="1" applyFont="1" applyFill="1" applyBorder="1" applyAlignment="1">
      <alignment horizontal="center" vertical="center" textRotation="90"/>
    </xf>
    <xf numFmtId="49" fontId="59" fillId="33" borderId="108" xfId="0" applyNumberFormat="1" applyFont="1" applyFill="1" applyBorder="1" applyAlignment="1">
      <alignment horizontal="center" vertical="center" textRotation="90"/>
    </xf>
    <xf numFmtId="49" fontId="59" fillId="33" borderId="30" xfId="0" applyNumberFormat="1" applyFont="1" applyFill="1" applyBorder="1" applyAlignment="1">
      <alignment horizontal="center" vertical="center" textRotation="90"/>
    </xf>
    <xf numFmtId="0" fontId="59" fillId="0" borderId="95" xfId="0" applyFont="1" applyBorder="1" applyAlignment="1">
      <alignment horizontal="center" vertical="top" wrapText="1"/>
    </xf>
    <xf numFmtId="0" fontId="59" fillId="0" borderId="96" xfId="0" applyFont="1" applyBorder="1" applyAlignment="1">
      <alignment horizontal="center" vertical="top" wrapText="1"/>
    </xf>
    <xf numFmtId="0" fontId="59" fillId="0" borderId="97" xfId="0" applyFont="1" applyBorder="1" applyAlignment="1">
      <alignment horizontal="center" vertical="top" wrapText="1"/>
    </xf>
    <xf numFmtId="0" fontId="59" fillId="0" borderId="64" xfId="0" applyFont="1" applyBorder="1" applyAlignment="1">
      <alignment horizontal="center" vertical="top" wrapText="1"/>
    </xf>
    <xf numFmtId="0" fontId="59" fillId="0" borderId="0" xfId="0" applyFont="1" applyAlignment="1">
      <alignment horizontal="center" vertical="top" wrapText="1"/>
    </xf>
    <xf numFmtId="0" fontId="59" fillId="0" borderId="65" xfId="0" applyFont="1" applyBorder="1" applyAlignment="1">
      <alignment horizontal="center" vertical="top" wrapText="1"/>
    </xf>
    <xf numFmtId="0" fontId="59" fillId="0" borderId="106" xfId="0" applyFont="1" applyBorder="1" applyAlignment="1">
      <alignment horizontal="center" vertical="top" wrapText="1"/>
    </xf>
    <xf numFmtId="0" fontId="59" fillId="0" borderId="63" xfId="0" applyFont="1" applyBorder="1" applyAlignment="1">
      <alignment horizontal="center" vertical="top" wrapText="1"/>
    </xf>
    <xf numFmtId="0" fontId="59" fillId="0" borderId="103" xfId="0" applyFont="1" applyBorder="1" applyAlignment="1">
      <alignment horizontal="center" vertical="top" wrapText="1"/>
    </xf>
    <xf numFmtId="0" fontId="59" fillId="0" borderId="10" xfId="0" applyFont="1" applyBorder="1" applyAlignment="1">
      <alignment horizontal="center" vertical="top" wrapText="1"/>
    </xf>
    <xf numFmtId="0" fontId="59" fillId="0" borderId="10" xfId="0" applyFont="1" applyBorder="1" applyAlignment="1">
      <alignment horizontal="center" vertical="top"/>
    </xf>
    <xf numFmtId="0" fontId="61" fillId="0" borderId="10" xfId="0" applyFont="1" applyBorder="1" applyAlignment="1">
      <alignment horizontal="center" vertical="top" wrapText="1"/>
    </xf>
    <xf numFmtId="0" fontId="61" fillId="0" borderId="10" xfId="0" applyFont="1" applyBorder="1" applyAlignment="1">
      <alignment horizontal="center" vertical="top"/>
    </xf>
    <xf numFmtId="0" fontId="59" fillId="33" borderId="32" xfId="0" applyFont="1" applyFill="1" applyBorder="1" applyAlignment="1">
      <alignment horizontal="center" vertical="top"/>
    </xf>
    <xf numFmtId="0" fontId="59" fillId="33" borderId="25" xfId="0" applyFont="1" applyFill="1" applyBorder="1" applyAlignment="1">
      <alignment horizontal="center" vertical="top"/>
    </xf>
    <xf numFmtId="0" fontId="59" fillId="33" borderId="26" xfId="0" applyFont="1" applyFill="1" applyBorder="1" applyAlignment="1">
      <alignment horizontal="center" vertical="top"/>
    </xf>
    <xf numFmtId="0" fontId="0" fillId="0" borderId="0" xfId="0" applyAlignment="1">
      <alignment horizontal="center"/>
    </xf>
    <xf numFmtId="0" fontId="0" fillId="0" borderId="63" xfId="0" applyBorder="1" applyAlignment="1">
      <alignment horizontal="center"/>
    </xf>
    <xf numFmtId="0" fontId="59" fillId="33" borderId="14" xfId="0" applyFont="1" applyFill="1" applyBorder="1" applyAlignment="1">
      <alignment horizontal="center" vertical="center" textRotation="90"/>
    </xf>
    <xf numFmtId="0" fontId="59" fillId="33" borderId="108" xfId="0" applyFont="1" applyFill="1" applyBorder="1" applyAlignment="1">
      <alignment horizontal="center" vertical="center" textRotation="90"/>
    </xf>
    <xf numFmtId="0" fontId="59" fillId="33" borderId="30" xfId="0" applyFont="1" applyFill="1" applyBorder="1" applyAlignment="1">
      <alignment horizontal="center" vertical="center" textRotation="90"/>
    </xf>
    <xf numFmtId="0" fontId="59" fillId="33" borderId="10" xfId="0" applyFont="1" applyFill="1" applyBorder="1" applyAlignment="1">
      <alignment horizontal="center"/>
    </xf>
    <xf numFmtId="0" fontId="44" fillId="33" borderId="63" xfId="0" applyFont="1" applyFill="1" applyBorder="1" applyAlignment="1">
      <alignment horizontal="center"/>
    </xf>
    <xf numFmtId="0" fontId="63" fillId="33" borderId="63" xfId="0" applyFont="1" applyFill="1" applyBorder="1" applyAlignment="1">
      <alignment horizontal="center"/>
    </xf>
    <xf numFmtId="0" fontId="59" fillId="0" borderId="10" xfId="0" applyFont="1" applyBorder="1" applyAlignment="1">
      <alignment horizontal="center" wrapText="1"/>
    </xf>
    <xf numFmtId="0" fontId="59" fillId="0" borderId="10" xfId="0" applyFont="1" applyBorder="1" applyAlignment="1">
      <alignment horizontal="center"/>
    </xf>
    <xf numFmtId="49" fontId="59" fillId="0" borderId="10" xfId="0" applyNumberFormat="1" applyFont="1" applyBorder="1" applyAlignment="1">
      <alignment horizontal="center" vertical="top" wrapText="1"/>
    </xf>
    <xf numFmtId="49" fontId="59" fillId="0" borderId="95" xfId="0" applyNumberFormat="1" applyFont="1" applyBorder="1" applyAlignment="1">
      <alignment horizontal="center" vertical="top" wrapText="1"/>
    </xf>
    <xf numFmtId="49" fontId="61" fillId="0" borderId="10" xfId="0" applyNumberFormat="1" applyFont="1" applyBorder="1" applyAlignment="1">
      <alignment horizontal="center" vertical="top" wrapText="1"/>
    </xf>
    <xf numFmtId="49" fontId="59" fillId="28" borderId="10" xfId="0" applyNumberFormat="1" applyFont="1" applyFill="1" applyBorder="1" applyAlignment="1">
      <alignment horizontal="center" vertical="top" wrapText="1"/>
    </xf>
    <xf numFmtId="0" fontId="0" fillId="0" borderId="64" xfId="0" applyBorder="1" applyAlignment="1">
      <alignment horizontal="center"/>
    </xf>
    <xf numFmtId="0" fontId="30" fillId="24" borderId="90" xfId="0" applyFont="1" applyFill="1" applyBorder="1" applyAlignment="1">
      <alignment horizontal="center" vertical="center"/>
    </xf>
    <xf numFmtId="0" fontId="30" fillId="24" borderId="88" xfId="0" applyFont="1" applyFill="1" applyBorder="1" applyAlignment="1">
      <alignment horizontal="center" vertical="center"/>
    </xf>
    <xf numFmtId="0" fontId="30" fillId="24" borderId="89" xfId="0" applyFont="1" applyFill="1" applyBorder="1" applyAlignment="1">
      <alignment horizontal="center" vertical="center"/>
    </xf>
    <xf numFmtId="0" fontId="30" fillId="0" borderId="75" xfId="0" applyFont="1" applyBorder="1" applyAlignment="1">
      <alignment horizontal="left" wrapText="1"/>
    </xf>
    <xf numFmtId="0" fontId="30" fillId="0" borderId="76" xfId="0" applyFont="1" applyBorder="1" applyAlignment="1">
      <alignment horizontal="left" wrapText="1"/>
    </xf>
    <xf numFmtId="0" fontId="30" fillId="0" borderId="77" xfId="0" applyFont="1" applyBorder="1" applyAlignment="1">
      <alignment horizontal="left" wrapText="1"/>
    </xf>
    <xf numFmtId="0" fontId="30" fillId="0" borderId="78" xfId="0" applyFont="1" applyBorder="1" applyAlignment="1">
      <alignment horizontal="left" wrapText="1"/>
    </xf>
    <xf numFmtId="0" fontId="30" fillId="0" borderId="74" xfId="0" applyFont="1" applyBorder="1" applyAlignment="1">
      <alignment horizontal="left" wrapText="1"/>
    </xf>
    <xf numFmtId="0" fontId="30" fillId="0" borderId="19" xfId="0" applyFont="1" applyBorder="1" applyAlignment="1">
      <alignment horizontal="left" wrapText="1"/>
    </xf>
    <xf numFmtId="0" fontId="30" fillId="0" borderId="20" xfId="0" applyFont="1" applyBorder="1" applyAlignment="1">
      <alignment horizontal="left" wrapText="1"/>
    </xf>
    <xf numFmtId="0" fontId="30" fillId="0" borderId="18" xfId="0" applyFont="1" applyBorder="1" applyAlignment="1">
      <alignment horizontal="left" wrapText="1"/>
    </xf>
    <xf numFmtId="0" fontId="31" fillId="0" borderId="68" xfId="0" applyFont="1" applyBorder="1" applyAlignment="1">
      <alignment horizontal="center" vertical="center"/>
    </xf>
    <xf numFmtId="0" fontId="31" fillId="0" borderId="69" xfId="0" applyFont="1" applyBorder="1" applyAlignment="1">
      <alignment horizontal="center" vertical="center"/>
    </xf>
    <xf numFmtId="0" fontId="31" fillId="0" borderId="70" xfId="0" applyFont="1" applyBorder="1" applyAlignment="1">
      <alignment horizontal="center" vertical="center"/>
    </xf>
    <xf numFmtId="0" fontId="31" fillId="0" borderId="83" xfId="0" applyFont="1" applyBorder="1" applyAlignment="1">
      <alignment horizontal="center" vertical="center"/>
    </xf>
    <xf numFmtId="0" fontId="50" fillId="32" borderId="0" xfId="0" applyFont="1" applyFill="1" applyAlignment="1">
      <alignment horizontal="center"/>
    </xf>
    <xf numFmtId="0" fontId="30" fillId="0" borderId="71" xfId="0" applyFont="1" applyBorder="1" applyAlignment="1">
      <alignment horizontal="left" wrapText="1"/>
    </xf>
    <xf numFmtId="0" fontId="30" fillId="0" borderId="72" xfId="0" applyFont="1" applyBorder="1" applyAlignment="1">
      <alignment horizontal="left" wrapText="1"/>
    </xf>
    <xf numFmtId="0" fontId="30" fillId="0" borderId="73" xfId="0" applyFont="1" applyBorder="1" applyAlignment="1">
      <alignment horizontal="left" wrapText="1"/>
    </xf>
    <xf numFmtId="0" fontId="30" fillId="0" borderId="79" xfId="0" applyFont="1" applyBorder="1" applyAlignment="1">
      <alignment horizontal="left" wrapText="1"/>
    </xf>
    <xf numFmtId="0" fontId="31" fillId="25" borderId="80" xfId="0" applyFont="1" applyFill="1" applyBorder="1" applyAlignment="1">
      <alignment horizontal="center" vertical="center"/>
    </xf>
    <xf numFmtId="0" fontId="30" fillId="0" borderId="81" xfId="0" applyFont="1" applyBorder="1"/>
    <xf numFmtId="0" fontId="30" fillId="0" borderId="82" xfId="0" applyFont="1" applyBorder="1"/>
    <xf numFmtId="0" fontId="30" fillId="0" borderId="109" xfId="0" applyFont="1" applyBorder="1" applyAlignment="1">
      <alignment horizontal="center" wrapText="1"/>
    </xf>
    <xf numFmtId="0" fontId="30" fillId="0" borderId="110" xfId="0" applyFont="1" applyBorder="1" applyAlignment="1">
      <alignment horizontal="center" wrapText="1"/>
    </xf>
    <xf numFmtId="0" fontId="30" fillId="0" borderId="111" xfId="0" applyFont="1" applyBorder="1" applyAlignment="1">
      <alignment horizontal="center" wrapText="1"/>
    </xf>
    <xf numFmtId="0" fontId="30" fillId="0" borderId="71" xfId="0" applyFont="1" applyBorder="1" applyAlignment="1">
      <alignment horizontal="center" wrapText="1"/>
    </xf>
    <xf numFmtId="0" fontId="30" fillId="0" borderId="72" xfId="0" applyFont="1" applyBorder="1" applyAlignment="1">
      <alignment horizontal="center" wrapText="1"/>
    </xf>
    <xf numFmtId="0" fontId="30" fillId="0" borderId="73" xfId="0" applyFont="1" applyBorder="1" applyAlignment="1">
      <alignment horizontal="center" wrapText="1"/>
    </xf>
    <xf numFmtId="0" fontId="30" fillId="24" borderId="66" xfId="0" applyFont="1" applyFill="1" applyBorder="1" applyAlignment="1">
      <alignment horizontal="center" vertical="center"/>
    </xf>
    <xf numFmtId="0" fontId="30" fillId="24" borderId="67" xfId="0" applyFont="1" applyFill="1" applyBorder="1" applyAlignment="1">
      <alignment horizontal="center" vertical="center"/>
    </xf>
    <xf numFmtId="0" fontId="30" fillId="24" borderId="84" xfId="0" applyFont="1" applyFill="1" applyBorder="1" applyAlignment="1">
      <alignment horizontal="center" vertical="center"/>
    </xf>
    <xf numFmtId="0" fontId="30" fillId="24" borderId="85" xfId="0" applyFont="1" applyFill="1" applyBorder="1" applyAlignment="1">
      <alignment horizontal="center" vertical="center"/>
    </xf>
    <xf numFmtId="0" fontId="30" fillId="24" borderId="86" xfId="0" applyFont="1" applyFill="1" applyBorder="1" applyAlignment="1">
      <alignment horizontal="center" vertical="center"/>
    </xf>
    <xf numFmtId="0" fontId="31" fillId="25" borderId="81" xfId="0" applyFont="1" applyFill="1" applyBorder="1" applyAlignment="1">
      <alignment horizontal="center" vertical="center"/>
    </xf>
    <xf numFmtId="0" fontId="31" fillId="25" borderId="82" xfId="0" applyFont="1" applyFill="1" applyBorder="1" applyAlignment="1">
      <alignment horizontal="center" vertical="center"/>
    </xf>
    <xf numFmtId="0" fontId="31" fillId="24" borderId="22" xfId="0" applyFont="1" applyFill="1" applyBorder="1" applyAlignment="1">
      <alignment horizontal="center" vertical="center"/>
    </xf>
    <xf numFmtId="0" fontId="30" fillId="24" borderId="87" xfId="0" applyFont="1" applyFill="1" applyBorder="1" applyAlignment="1">
      <alignment horizontal="center" vertical="center"/>
    </xf>
    <xf numFmtId="0" fontId="31" fillId="24" borderId="31" xfId="0" applyFont="1" applyFill="1" applyBorder="1" applyAlignment="1">
      <alignment horizontal="center" vertical="center"/>
    </xf>
    <xf numFmtId="0" fontId="31" fillId="24" borderId="21" xfId="0" applyFont="1" applyFill="1" applyBorder="1" applyAlignment="1">
      <alignment horizontal="center" vertical="center"/>
    </xf>
    <xf numFmtId="0" fontId="31" fillId="25" borderId="83" xfId="0" applyFont="1" applyFill="1" applyBorder="1" applyAlignment="1">
      <alignment horizontal="center" vertical="center"/>
    </xf>
    <xf numFmtId="0" fontId="31" fillId="25" borderId="69" xfId="0" applyFont="1" applyFill="1" applyBorder="1" applyAlignment="1">
      <alignment horizontal="center" vertical="center"/>
    </xf>
    <xf numFmtId="0" fontId="31" fillId="25" borderId="70" xfId="0" applyFont="1" applyFill="1" applyBorder="1" applyAlignment="1">
      <alignment horizontal="center" vertical="center"/>
    </xf>
    <xf numFmtId="0" fontId="73" fillId="46" borderId="51" xfId="0" applyFont="1" applyFill="1" applyBorder="1" applyAlignment="1">
      <alignment horizontal="center" vertical="center" wrapText="1"/>
    </xf>
    <xf numFmtId="0" fontId="73" fillId="46" borderId="49" xfId="0" applyFont="1" applyFill="1" applyBorder="1" applyAlignment="1">
      <alignment horizontal="center" vertical="center" wrapText="1"/>
    </xf>
    <xf numFmtId="0" fontId="34" fillId="29" borderId="112" xfId="0" applyFont="1" applyFill="1" applyBorder="1" applyAlignment="1">
      <alignment horizontal="center" vertical="center"/>
    </xf>
    <xf numFmtId="0" fontId="34" fillId="29" borderId="113" xfId="0" applyFont="1" applyFill="1" applyBorder="1" applyAlignment="1">
      <alignment horizontal="center" vertical="center"/>
    </xf>
    <xf numFmtId="0" fontId="34" fillId="29" borderId="34" xfId="0" applyFont="1" applyFill="1" applyBorder="1" applyAlignment="1">
      <alignment horizontal="center" vertical="center"/>
    </xf>
    <xf numFmtId="0" fontId="44" fillId="33" borderId="0" xfId="0" applyFont="1" applyFill="1" applyAlignment="1">
      <alignment horizontal="center" vertical="center"/>
    </xf>
    <xf numFmtId="9" fontId="41" fillId="0" borderId="14" xfId="0" applyNumberFormat="1" applyFont="1" applyBorder="1" applyAlignment="1">
      <alignment horizontal="center" vertical="center"/>
    </xf>
    <xf numFmtId="0" fontId="41" fillId="0" borderId="30" xfId="0" applyFont="1" applyBorder="1" applyAlignment="1">
      <alignment horizontal="center" vertical="center"/>
    </xf>
    <xf numFmtId="0" fontId="41" fillId="0" borderId="14" xfId="0" applyFont="1" applyBorder="1" applyAlignment="1">
      <alignment horizontal="center" vertical="center"/>
    </xf>
    <xf numFmtId="0" fontId="42" fillId="33" borderId="10" xfId="0" applyFont="1" applyFill="1" applyBorder="1" applyAlignment="1">
      <alignment horizontal="center"/>
    </xf>
    <xf numFmtId="0" fontId="43" fillId="33" borderId="51" xfId="0" applyFont="1" applyFill="1" applyBorder="1" applyAlignment="1">
      <alignment horizontal="center"/>
    </xf>
    <xf numFmtId="0" fontId="43" fillId="33" borderId="52" xfId="0" applyFont="1" applyFill="1" applyBorder="1" applyAlignment="1">
      <alignment horizontal="center"/>
    </xf>
    <xf numFmtId="0" fontId="43" fillId="33" borderId="53" xfId="0" applyFont="1" applyFill="1" applyBorder="1" applyAlignment="1">
      <alignment horizontal="center"/>
    </xf>
    <xf numFmtId="0" fontId="43" fillId="33" borderId="47" xfId="0" applyFont="1" applyFill="1" applyBorder="1" applyAlignment="1">
      <alignment horizontal="center"/>
    </xf>
    <xf numFmtId="0" fontId="43" fillId="33" borderId="10" xfId="0" applyFont="1" applyFill="1" applyBorder="1" applyAlignment="1">
      <alignment horizontal="center"/>
    </xf>
    <xf numFmtId="0" fontId="43" fillId="33" borderId="13" xfId="0" applyFont="1" applyFill="1" applyBorder="1" applyAlignment="1">
      <alignment horizontal="center"/>
    </xf>
    <xf numFmtId="0" fontId="41" fillId="33" borderId="14" xfId="0" applyFont="1" applyFill="1" applyBorder="1" applyAlignment="1">
      <alignment horizontal="center" vertical="center"/>
    </xf>
    <xf numFmtId="0" fontId="41" fillId="33" borderId="30" xfId="0" applyFont="1" applyFill="1" applyBorder="1" applyAlignment="1">
      <alignment horizontal="center" vertical="center"/>
    </xf>
    <xf numFmtId="0" fontId="41" fillId="33" borderId="10" xfId="0" applyFont="1" applyFill="1" applyBorder="1" applyAlignment="1">
      <alignment horizontal="center" vertical="center"/>
    </xf>
    <xf numFmtId="0" fontId="42" fillId="33" borderId="63" xfId="0" applyFont="1" applyFill="1" applyBorder="1" applyAlignment="1">
      <alignment horizontal="center"/>
    </xf>
    <xf numFmtId="9" fontId="41" fillId="0" borderId="14" xfId="40" applyFont="1" applyBorder="1" applyAlignment="1">
      <alignment horizontal="center" vertical="center"/>
    </xf>
    <xf numFmtId="9" fontId="41" fillId="0" borderId="30" xfId="40" applyFont="1" applyBorder="1" applyAlignment="1">
      <alignment horizontal="center" vertical="center"/>
    </xf>
    <xf numFmtId="167" fontId="41" fillId="0" borderId="14" xfId="44" applyNumberFormat="1" applyFont="1" applyBorder="1" applyAlignment="1">
      <alignment horizontal="center" vertical="center"/>
    </xf>
    <xf numFmtId="167" fontId="41" fillId="0" borderId="30" xfId="44" applyNumberFormat="1" applyFont="1" applyBorder="1" applyAlignment="1">
      <alignment horizontal="center" vertical="center"/>
    </xf>
    <xf numFmtId="0" fontId="37" fillId="0" borderId="0" xfId="0" applyFont="1" applyBorder="1" applyAlignment="1">
      <alignment vertical="center"/>
    </xf>
    <xf numFmtId="0" fontId="67" fillId="0" borderId="0" xfId="0" applyFont="1" applyBorder="1" applyAlignment="1">
      <alignment horizontal="center" vertical="center"/>
    </xf>
    <xf numFmtId="0" fontId="68" fillId="0" borderId="0" xfId="0" applyFont="1" applyBorder="1" applyAlignment="1">
      <alignment horizontal="center" vertical="center"/>
    </xf>
    <xf numFmtId="0" fontId="69" fillId="0" borderId="0" xfId="0" applyFont="1" applyBorder="1" applyAlignment="1">
      <alignment horizontal="center" vertical="center"/>
    </xf>
    <xf numFmtId="0" fontId="33" fillId="0" borderId="0" xfId="0" applyFont="1" applyBorder="1" applyAlignment="1">
      <alignment vertical="center"/>
    </xf>
    <xf numFmtId="0" fontId="4" fillId="0" borderId="0" xfId="0" applyFont="1" applyBorder="1" applyAlignment="1">
      <alignment vertical="center"/>
    </xf>
    <xf numFmtId="0" fontId="71" fillId="45" borderId="0" xfId="0" applyFont="1" applyFill="1" applyBorder="1" applyAlignment="1">
      <alignment horizontal="center" vertical="center"/>
    </xf>
    <xf numFmtId="0" fontId="0" fillId="0" borderId="0" xfId="0" applyBorder="1"/>
    <xf numFmtId="49" fontId="70" fillId="0" borderId="0" xfId="0" applyNumberFormat="1" applyFont="1" applyBorder="1" applyAlignment="1">
      <alignment horizontal="center"/>
    </xf>
    <xf numFmtId="0" fontId="34" fillId="35" borderId="0" xfId="0" applyFont="1" applyFill="1" applyAlignment="1">
      <alignment horizontal="center" vertical="center"/>
    </xf>
    <xf numFmtId="0" fontId="49" fillId="0" borderId="0" xfId="0" applyFont="1" applyFill="1" applyAlignment="1" applyProtection="1">
      <alignment horizontal="center" vertical="center"/>
      <protection locked="0"/>
    </xf>
    <xf numFmtId="0" fontId="33" fillId="0" borderId="0" xfId="0" applyFont="1" applyFill="1" applyAlignment="1" applyProtection="1">
      <alignment horizontal="center" vertical="center"/>
      <protection locked="0"/>
    </xf>
    <xf numFmtId="0" fontId="33" fillId="0" borderId="0" xfId="0" applyFont="1" applyFill="1" applyAlignment="1" applyProtection="1">
      <alignment vertical="center"/>
      <protection locked="0"/>
    </xf>
    <xf numFmtId="0" fontId="39" fillId="0" borderId="0" xfId="0" applyFont="1" applyFill="1" applyAlignment="1" applyProtection="1">
      <alignment horizontal="center" vertical="center" wrapText="1"/>
      <protection locked="0"/>
    </xf>
    <xf numFmtId="0" fontId="39" fillId="0" borderId="0" xfId="0" applyFont="1" applyFill="1" applyAlignment="1" applyProtection="1">
      <alignment vertical="center" wrapText="1"/>
      <protection locked="0"/>
    </xf>
    <xf numFmtId="0" fontId="34" fillId="0" borderId="0" xfId="0" applyFont="1" applyFill="1" applyAlignment="1" applyProtection="1">
      <alignment horizontal="center" vertical="center" wrapText="1"/>
      <protection locked="0"/>
    </xf>
    <xf numFmtId="0" fontId="34" fillId="0" borderId="0" xfId="0" applyFont="1" applyFill="1" applyAlignment="1" applyProtection="1">
      <alignment vertical="center"/>
      <protection locked="0"/>
    </xf>
    <xf numFmtId="166" fontId="33" fillId="0" borderId="0" xfId="0" applyNumberFormat="1" applyFont="1" applyFill="1" applyAlignment="1" applyProtection="1">
      <alignment horizontal="center" vertical="center"/>
      <protection locked="0"/>
    </xf>
    <xf numFmtId="0" fontId="34" fillId="0" borderId="10" xfId="0" applyFont="1" applyBorder="1" applyAlignment="1">
      <alignment vertical="center"/>
    </xf>
    <xf numFmtId="0" fontId="7" fillId="0" borderId="10" xfId="0" applyFont="1" applyBorder="1" applyAlignment="1">
      <alignment vertical="center"/>
    </xf>
    <xf numFmtId="0" fontId="52" fillId="29" borderId="10" xfId="0" applyFont="1" applyFill="1" applyBorder="1" applyAlignment="1">
      <alignment horizontal="center" vertical="center" wrapText="1"/>
    </xf>
    <xf numFmtId="0" fontId="33" fillId="0" borderId="10" xfId="0" applyFont="1" applyBorder="1" applyProtection="1">
      <protection locked="0"/>
    </xf>
    <xf numFmtId="0" fontId="4" fillId="0" borderId="10" xfId="0" applyFont="1" applyBorder="1" applyAlignment="1">
      <alignment vertical="center"/>
    </xf>
    <xf numFmtId="0" fontId="55" fillId="0" borderId="10" xfId="0" applyFont="1" applyBorder="1" applyAlignment="1">
      <alignment horizontal="left" vertical="center" wrapText="1" indent="2" readingOrder="1"/>
    </xf>
    <xf numFmtId="0" fontId="52" fillId="0" borderId="10" xfId="0" applyFont="1" applyBorder="1" applyAlignment="1">
      <alignment horizontal="center" vertical="center" readingOrder="1"/>
    </xf>
    <xf numFmtId="0" fontId="29" fillId="0" borderId="10" xfId="0" applyFont="1" applyBorder="1" applyAlignment="1">
      <alignment horizontal="center" vertical="center"/>
    </xf>
    <xf numFmtId="0" fontId="52" fillId="41" borderId="10" xfId="0" applyFont="1" applyFill="1" applyBorder="1" applyAlignment="1">
      <alignment horizontal="center" vertical="center" readingOrder="1"/>
    </xf>
    <xf numFmtId="0" fontId="29" fillId="41" borderId="10" xfId="0" applyFont="1" applyFill="1" applyBorder="1" applyAlignment="1">
      <alignment horizontal="center" vertical="center"/>
    </xf>
    <xf numFmtId="0" fontId="0" fillId="0" borderId="10" xfId="0" applyBorder="1"/>
    <xf numFmtId="0" fontId="80" fillId="0" borderId="0" xfId="0" applyFont="1" applyAlignment="1" applyProtection="1">
      <alignment vertical="center"/>
      <protection locked="0"/>
    </xf>
    <xf numFmtId="0" fontId="79" fillId="35" borderId="0" xfId="0" applyFont="1" applyFill="1" applyAlignment="1">
      <alignment horizontal="center"/>
    </xf>
    <xf numFmtId="0" fontId="81" fillId="0" borderId="10" xfId="0" applyFont="1" applyBorder="1" applyAlignment="1">
      <alignment horizontal="center" vertical="center" wrapText="1"/>
    </xf>
    <xf numFmtId="0" fontId="4" fillId="0" borderId="101" xfId="0" applyFont="1" applyBorder="1" applyAlignment="1" applyProtection="1">
      <alignment horizontal="center" vertical="center" wrapText="1"/>
      <protection locked="0"/>
    </xf>
    <xf numFmtId="0" fontId="4" fillId="0" borderId="100" xfId="0" applyFont="1" applyBorder="1" applyAlignment="1" applyProtection="1">
      <alignment horizontal="center" vertical="center" wrapText="1"/>
      <protection locked="0"/>
    </xf>
    <xf numFmtId="0" fontId="4" fillId="0" borderId="55" xfId="0" applyFont="1" applyBorder="1" applyAlignment="1" applyProtection="1">
      <alignment horizontal="center" vertical="center" wrapText="1"/>
      <protection locked="0"/>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44" builtinId="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5" xfId="45" xr:uid="{9F115663-CB00-B543-B960-D9589351C58E}"/>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15">
    <dxf>
      <font>
        <b/>
        <i val="0"/>
        <strike val="0"/>
        <condense val="0"/>
        <extend val="0"/>
        <outline val="0"/>
        <shadow val="0"/>
        <u val="none"/>
        <vertAlign val="baseline"/>
        <sz val="10"/>
        <color rgb="FF000000"/>
        <name val="Arial"/>
        <family val="2"/>
        <scheme val="none"/>
      </font>
      <fill>
        <patternFill patternType="solid">
          <fgColor indexed="64"/>
          <bgColor theme="0" tint="-0.14999847407452621"/>
        </patternFill>
      </fill>
      <alignment horizontal="center" vertical="bottom" textRotation="0" wrapText="0" indent="0" justifyLastLine="0" shrinkToFit="0" readingOrder="0"/>
    </dxf>
    <dxf>
      <fill>
        <patternFill>
          <bgColor theme="4" tint="0.39994506668294322"/>
        </patternFill>
      </fill>
    </dxf>
    <dxf>
      <fill>
        <patternFill>
          <bgColor theme="4" tint="0.39994506668294322"/>
        </patternFill>
      </fill>
    </dxf>
    <dxf>
      <font>
        <color rgb="FF9C0006"/>
      </font>
      <fill>
        <patternFill>
          <bgColor rgb="FFFFC7CE"/>
        </patternFill>
      </fill>
    </dxf>
    <dxf>
      <fill>
        <patternFill>
          <fgColor theme="0"/>
          <bgColor theme="4" tint="0.39994506668294322"/>
        </patternFill>
      </fill>
    </dxf>
    <dxf>
      <fill>
        <patternFill>
          <bgColor theme="4" tint="0.39994506668294322"/>
        </patternFill>
      </fill>
    </dxf>
    <dxf>
      <fill>
        <patternFill>
          <fgColor theme="0"/>
          <bgColor theme="4" tint="0.39994506668294322"/>
        </patternFill>
      </fill>
    </dxf>
    <dxf>
      <fill>
        <patternFill>
          <bgColor theme="4" tint="0.39994506668294322"/>
        </patternFill>
      </fill>
    </dxf>
    <dxf>
      <font>
        <color theme="0"/>
      </font>
      <fill>
        <patternFill>
          <fgColor theme="0"/>
        </patternFill>
      </fill>
    </dxf>
    <dxf>
      <font>
        <b/>
        <i val="0"/>
        <condense val="0"/>
        <extend val="0"/>
        <color indexed="9"/>
      </font>
      <fill>
        <patternFill>
          <bgColor indexed="18"/>
        </patternFill>
      </fill>
    </dxf>
    <dxf>
      <font>
        <b/>
        <i val="0"/>
        <color theme="1"/>
      </font>
      <fill>
        <patternFill>
          <bgColor rgb="FFFF0000"/>
        </patternFill>
      </fill>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
      <font>
        <b val="0"/>
        <i val="0"/>
        <strike val="0"/>
        <condense val="0"/>
        <extend val="0"/>
        <outline val="0"/>
        <shadow val="0"/>
        <u val="none"/>
        <vertAlign val="baseline"/>
        <sz val="10"/>
        <color rgb="FF000000"/>
        <name val="Arial"/>
        <family val="2"/>
        <scheme val="none"/>
      </font>
    </dxf>
  </dxfs>
  <tableStyles count="0" defaultTableStyle="TableStyleMedium9" defaultPivotStyle="PivotStyleLight16"/>
  <colors>
    <mruColors>
      <color rgb="FFFFFD78"/>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Arial"/>
                <a:ea typeface="Arial"/>
                <a:cs typeface="Arial"/>
              </a:defRPr>
            </a:pPr>
            <a:r>
              <a:rPr lang="en-US"/>
              <a:t>Core Competencies</a:t>
            </a:r>
          </a:p>
        </c:rich>
      </c:tx>
      <c:layout>
        <c:manualLayout>
          <c:xMode val="edge"/>
          <c:yMode val="edge"/>
          <c:x val="0.43302180685358255"/>
          <c:y val="2.0408163265306121E-2"/>
        </c:manualLayout>
      </c:layout>
      <c:overlay val="0"/>
      <c:spPr>
        <a:noFill/>
        <a:ln w="25400">
          <a:noFill/>
        </a:ln>
      </c:spPr>
    </c:title>
    <c:autoTitleDeleted val="0"/>
    <c:view3D>
      <c:rotX val="15"/>
      <c:hPercent val="61"/>
      <c:rotY val="20"/>
      <c:depthPercent val="100"/>
      <c:rAngAx val="1"/>
    </c:view3D>
    <c:floor>
      <c:thickness val="0"/>
      <c:spPr>
        <a:solidFill>
          <a:srgbClr val="C0C0C0"/>
        </a:solidFill>
        <a:ln w="3175">
          <a:solidFill>
            <a:srgbClr val="000000"/>
          </a:solidFill>
          <a:prstDash val="solid"/>
        </a:ln>
      </c:spPr>
    </c:floor>
    <c:sideWall>
      <c:thickness val="0"/>
      <c:spPr>
        <a:solidFill>
          <a:srgbClr val="C0C0C0"/>
        </a:solidFill>
        <a:ln w="12700">
          <a:solidFill>
            <a:srgbClr val="808080"/>
          </a:solidFill>
          <a:prstDash val="solid"/>
        </a:ln>
      </c:spPr>
    </c:sideWall>
    <c:backWall>
      <c:thickness val="0"/>
      <c:spPr>
        <a:solidFill>
          <a:srgbClr val="C0C0C0"/>
        </a:solidFill>
        <a:ln w="12700">
          <a:solidFill>
            <a:srgbClr val="808080"/>
          </a:solidFill>
          <a:prstDash val="solid"/>
        </a:ln>
      </c:spPr>
    </c:backWall>
    <c:plotArea>
      <c:layout>
        <c:manualLayout>
          <c:layoutTarget val="inner"/>
          <c:xMode val="edge"/>
          <c:yMode val="edge"/>
          <c:x val="2.8037383177570093E-2"/>
          <c:y val="9.5238095238095233E-2"/>
          <c:w val="0.87538940809968846"/>
          <c:h val="0.76360544217687076"/>
        </c:manualLayout>
      </c:layout>
      <c:bar3DChart>
        <c:barDir val="col"/>
        <c:grouping val="clustered"/>
        <c:varyColors val="0"/>
        <c:ser>
          <c:idx val="1"/>
          <c:order val="0"/>
          <c:tx>
            <c:v>'Performance Review'!#REF!</c:v>
          </c:tx>
          <c:spPr>
            <a:solidFill>
              <a:srgbClr val="00800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800" b="1" i="0" u="none" strike="noStrike" baseline="0">
                    <a:solidFill>
                      <a:srgbClr val="FF0000"/>
                    </a:solidFill>
                    <a:latin typeface="Arial"/>
                    <a:ea typeface="Arial"/>
                    <a:cs typeface="Arial"/>
                  </a:defRPr>
                </a:pPr>
                <a:endParaRPr lang="en-E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'Performance Review'!#REF!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'Performance Review'!#REF!</c15:sqref>
                        </c15:formulaRef>
                      </c:ext>
                    </c:extLst>
                  </c:multiLvlStrRef>
                </c15:cat>
              </c15:filteredCategoryTitle>
            </c:ext>
            <c:ext xmlns:c16="http://schemas.microsoft.com/office/drawing/2014/chart" uri="{C3380CC4-5D6E-409C-BE32-E72D297353CC}">
              <c16:uniqueId val="{00000000-77CE-2740-8EEE-DF4B278ECB3A}"/>
            </c:ext>
          </c:extLst>
        </c:ser>
        <c:ser>
          <c:idx val="2"/>
          <c:order val="1"/>
          <c:tx>
            <c:v>'Performance Review'!#REF!</c:v>
          </c:tx>
          <c:spPr>
            <a:solidFill>
              <a:srgbClr val="000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800" b="1" i="0" u="none" strike="noStrike" baseline="0">
                    <a:solidFill>
                      <a:srgbClr val="FF0000"/>
                    </a:solidFill>
                    <a:latin typeface="Arial"/>
                    <a:ea typeface="Arial"/>
                    <a:cs typeface="Arial"/>
                  </a:defRPr>
                </a:pPr>
                <a:endParaRPr lang="en-EG"/>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'Performance Review'!#REF!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'Performance Review'!#REF!</c15:sqref>
                        </c15:formulaRef>
                      </c:ext>
                    </c:extLst>
                  </c:multiLvlStrRef>
                </c15:cat>
              </c15:filteredCategoryTitle>
            </c:ext>
            <c:ext xmlns:c16="http://schemas.microsoft.com/office/drawing/2014/chart" uri="{C3380CC4-5D6E-409C-BE32-E72D297353CC}">
              <c16:uniqueId val="{00000001-77CE-2740-8EEE-DF4B278ECB3A}"/>
            </c:ext>
          </c:extLst>
        </c:ser>
        <c:dLbls>
          <c:showLegendKey val="0"/>
          <c:showVal val="0"/>
          <c:showCatName val="0"/>
          <c:showSerName val="0"/>
          <c:showPercent val="0"/>
          <c:showBubbleSize val="0"/>
        </c:dLbls>
        <c:gapWidth val="150"/>
        <c:shape val="box"/>
        <c:axId val="279647480"/>
        <c:axId val="279633800"/>
        <c:axId val="0"/>
      </c:bar3DChart>
      <c:catAx>
        <c:axId val="279647480"/>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US"/>
                  <a:t>Core Competencies</a:t>
                </a:r>
              </a:p>
            </c:rich>
          </c:tx>
          <c:layout>
            <c:manualLayout>
              <c:xMode val="edge"/>
              <c:yMode val="edge"/>
              <c:x val="0.38213914849428871"/>
              <c:y val="0.9302721088435373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n-EG"/>
          </a:p>
        </c:txPr>
        <c:crossAx val="279633800"/>
        <c:crosses val="autoZero"/>
        <c:auto val="1"/>
        <c:lblAlgn val="ctr"/>
        <c:lblOffset val="100"/>
        <c:tickLblSkip val="1"/>
        <c:tickMarkSkip val="1"/>
        <c:noMultiLvlLbl val="0"/>
      </c:catAx>
      <c:valAx>
        <c:axId val="27963380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Arial"/>
                <a:ea typeface="Arial"/>
                <a:cs typeface="Arial"/>
              </a:defRPr>
            </a:pPr>
            <a:endParaRPr lang="en-EG"/>
          </a:p>
        </c:txPr>
        <c:crossAx val="279647480"/>
        <c:crosses val="autoZero"/>
        <c:crossBetween val="between"/>
        <c:majorUnit val="1"/>
        <c:minorUnit val="1"/>
      </c:valAx>
      <c:spPr>
        <a:noFill/>
        <a:ln w="25400">
          <a:noFill/>
        </a:ln>
      </c:spPr>
    </c:plotArea>
    <c:legend>
      <c:legendPos val="r"/>
      <c:layout>
        <c:manualLayout>
          <c:xMode val="edge"/>
          <c:yMode val="edge"/>
          <c:x val="0.91484942886812048"/>
          <c:y val="0.50340136054421769"/>
          <c:w val="7.6319790244288033E-2"/>
          <c:h val="7.3365829271341054E-2"/>
        </c:manualLayout>
      </c:layout>
      <c:overlay val="0"/>
      <c:spPr>
        <a:solidFill>
          <a:srgbClr val="FFFFFF"/>
        </a:solidFill>
        <a:ln w="3175">
          <a:solidFill>
            <a:srgbClr val="000000"/>
          </a:solidFill>
          <a:prstDash val="solid"/>
        </a:ln>
      </c:spPr>
      <c:txPr>
        <a:bodyPr/>
        <a:lstStyle/>
        <a:p>
          <a:pPr>
            <a:defRPr sz="775" b="1" i="0" u="none" strike="noStrike" baseline="0">
              <a:solidFill>
                <a:srgbClr val="000000"/>
              </a:solidFill>
              <a:latin typeface="Arial"/>
              <a:ea typeface="Arial"/>
              <a:cs typeface="Arial"/>
            </a:defRPr>
          </a:pPr>
          <a:endParaRPr lang="en-EG"/>
        </a:p>
      </c:txPr>
    </c:legend>
    <c:plotVisOnly val="1"/>
    <c:dispBlanksAs val="gap"/>
    <c:showDLblsOverMax val="0"/>
  </c:chart>
  <c:spPr>
    <a:noFill/>
    <a:ln w="9525">
      <a:noFill/>
    </a:ln>
  </c:spPr>
  <c:txPr>
    <a:bodyPr/>
    <a:lstStyle/>
    <a:p>
      <a:pPr>
        <a:defRPr sz="1000" b="1" i="0" u="none" strike="noStrike" baseline="0">
          <a:solidFill>
            <a:srgbClr val="000000"/>
          </a:solidFill>
          <a:latin typeface="Arial"/>
          <a:ea typeface="Arial"/>
          <a:cs typeface="Arial"/>
        </a:defRPr>
      </a:pPr>
      <a:endParaRPr lang="en-EG"/>
    </a:p>
  </c:txPr>
</c:chartSpace>
</file>

<file path=xl/chartsheets/_rels/sheet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chartsheets/sheet1.xml><?xml version="1.0" encoding="utf-8"?>
<chart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r="http://schemas.microsoft.com/office/spreadsheetml/2014/revision" xmlns:xr3="http://schemas.microsoft.com/office/spreadsheetml/2016/revision3" mc:Ignorable="xr xr3" xr:uid="{00000000-0001-0000-0800-000000000000}">
  <sheetPr codeName="Chart1">
    <tabColor indexed="30"/>
  </sheetPr>
  <sheetViews>
    <sheetView zoomScale="70" workbookViewId="0"/>
  </sheetViews>
  <pageMargins left="0.75" right="0.75" top="1" bottom="1" header="0.5" footer="0.5"/>
  <pageSetup paperSize="9" orientation="landscape" r:id="rId1"/>
  <headerFooter alignWithMargins="0"/>
  <drawing r:id="rId2"/>
  <legacyDrawing r:id="rId3"/>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Objectives Setting'!A1"/><Relationship Id="rId1" Type="http://schemas.openxmlformats.org/officeDocument/2006/relationships/hyperlink" Target="#'Development Plan'!A1"/></Relationships>
</file>

<file path=xl/drawings/_rels/drawing4.xml.rels><?xml version="1.0" encoding="UTF-8" standalone="yes"?>
<Relationships xmlns="http://schemas.openxmlformats.org/package/2006/relationships"><Relationship Id="rId2" Type="http://schemas.openxmlformats.org/officeDocument/2006/relationships/hyperlink" Target="#'Performance Review'!A1"/><Relationship Id="rId1" Type="http://schemas.openxmlformats.org/officeDocument/2006/relationships/hyperlink" Target="#'Performance Profile'!A1"/></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1</xdr:row>
      <xdr:rowOff>546100</xdr:rowOff>
    </xdr:from>
    <xdr:to>
      <xdr:col>2</xdr:col>
      <xdr:colOff>602407</xdr:colOff>
      <xdr:row>3</xdr:row>
      <xdr:rowOff>198120</xdr:rowOff>
    </xdr:to>
    <xdr:pic>
      <xdr:nvPicPr>
        <xdr:cNvPr id="3" name="Picture 2">
          <a:extLst>
            <a:ext uri="{FF2B5EF4-FFF2-40B4-BE49-F238E27FC236}">
              <a16:creationId xmlns:a16="http://schemas.microsoft.com/office/drawing/2014/main" id="{9E2B28FA-F2CF-A4A7-FC8C-58A5A95C1A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1545" t="36232" r="11497" b="37368"/>
        <a:stretch>
          <a:fillRect/>
        </a:stretch>
      </xdr:blipFill>
      <xdr:spPr>
        <a:xfrm>
          <a:off x="25400" y="749300"/>
          <a:ext cx="1466007" cy="5029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381000</xdr:colOff>
      <xdr:row>0</xdr:row>
      <xdr:rowOff>123825</xdr:rowOff>
    </xdr:from>
    <xdr:to>
      <xdr:col>8</xdr:col>
      <xdr:colOff>723900</xdr:colOff>
      <xdr:row>0</xdr:row>
      <xdr:rowOff>342900</xdr:rowOff>
    </xdr:to>
    <xdr:sp macro="[0]!Next_Page" textlink="">
      <xdr:nvSpPr>
        <xdr:cNvPr id="264199" name="AutoShape 8">
          <a:hlinkClick xmlns:r="http://schemas.openxmlformats.org/officeDocument/2006/relationships" r:id="rId1"/>
          <a:extLst>
            <a:ext uri="{FF2B5EF4-FFF2-40B4-BE49-F238E27FC236}">
              <a16:creationId xmlns:a16="http://schemas.microsoft.com/office/drawing/2014/main" id="{00000000-0008-0000-0200-000007080400}"/>
            </a:ext>
          </a:extLst>
        </xdr:cNvPr>
        <xdr:cNvSpPr>
          <a:spLocks noChangeArrowheads="1"/>
        </xdr:cNvSpPr>
      </xdr:nvSpPr>
      <xdr:spPr bwMode="auto">
        <a:xfrm>
          <a:off x="5705475" y="123825"/>
          <a:ext cx="342900" cy="219075"/>
        </a:xfrm>
        <a:prstGeom prst="rightArrow">
          <a:avLst>
            <a:gd name="adj1" fmla="val 50000"/>
            <a:gd name="adj2" fmla="val 39130"/>
          </a:avLst>
        </a:prstGeom>
        <a:solidFill>
          <a:srgbClr val="C0C0C0"/>
        </a:solidFill>
        <a:ln w="9525">
          <a:solidFill>
            <a:srgbClr val="000000"/>
          </a:solidFill>
          <a:miter lim="800000"/>
          <a:headEnd/>
          <a:tailEnd/>
        </a:ln>
      </xdr:spPr>
    </xdr:sp>
    <xdr:clientData/>
  </xdr:twoCellAnchor>
  <xdr:twoCellAnchor>
    <xdr:from>
      <xdr:col>7</xdr:col>
      <xdr:colOff>314325</xdr:colOff>
      <xdr:row>0</xdr:row>
      <xdr:rowOff>133350</xdr:rowOff>
    </xdr:from>
    <xdr:to>
      <xdr:col>8</xdr:col>
      <xdr:colOff>304800</xdr:colOff>
      <xdr:row>0</xdr:row>
      <xdr:rowOff>352425</xdr:rowOff>
    </xdr:to>
    <xdr:sp macro="[0]!Pageback" textlink="">
      <xdr:nvSpPr>
        <xdr:cNvPr id="264200" name="AutoShape 9">
          <a:hlinkClick xmlns:r="http://schemas.openxmlformats.org/officeDocument/2006/relationships" r:id="rId2"/>
          <a:extLst>
            <a:ext uri="{FF2B5EF4-FFF2-40B4-BE49-F238E27FC236}">
              <a16:creationId xmlns:a16="http://schemas.microsoft.com/office/drawing/2014/main" id="{00000000-0008-0000-0200-000008080400}"/>
            </a:ext>
          </a:extLst>
        </xdr:cNvPr>
        <xdr:cNvSpPr>
          <a:spLocks noChangeArrowheads="1"/>
        </xdr:cNvSpPr>
      </xdr:nvSpPr>
      <xdr:spPr bwMode="auto">
        <a:xfrm>
          <a:off x="5010150" y="133350"/>
          <a:ext cx="619125" cy="219075"/>
        </a:xfrm>
        <a:prstGeom prst="leftArrow">
          <a:avLst>
            <a:gd name="adj1" fmla="val 50000"/>
            <a:gd name="adj2" fmla="val 70652"/>
          </a:avLst>
        </a:prstGeom>
        <a:solidFill>
          <a:srgbClr val="C0C0C0"/>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11616</xdr:colOff>
      <xdr:row>6</xdr:row>
      <xdr:rowOff>127774</xdr:rowOff>
    </xdr:from>
    <xdr:to>
      <xdr:col>23</xdr:col>
      <xdr:colOff>592408</xdr:colOff>
      <xdr:row>17</xdr:row>
      <xdr:rowOff>46463</xdr:rowOff>
    </xdr:to>
    <xdr:sp macro="" textlink="">
      <xdr:nvSpPr>
        <xdr:cNvPr id="2" name="Oval 1">
          <a:extLst>
            <a:ext uri="{FF2B5EF4-FFF2-40B4-BE49-F238E27FC236}">
              <a16:creationId xmlns:a16="http://schemas.microsoft.com/office/drawing/2014/main" id="{99F8D4D8-38C0-4119-AAEA-417AF7C7EA5B}"/>
            </a:ext>
          </a:extLst>
        </xdr:cNvPr>
        <xdr:cNvSpPr/>
      </xdr:nvSpPr>
      <xdr:spPr>
        <a:xfrm>
          <a:off x="10673266" y="1239024"/>
          <a:ext cx="1799992" cy="2064989"/>
        </a:xfrm>
        <a:prstGeom prst="ellipse">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a:t>2-5</a:t>
          </a:r>
          <a:r>
            <a:rPr lang="en-US" sz="1600" b="0" baseline="0"/>
            <a:t> Years to Next Step</a:t>
          </a:r>
          <a:endParaRPr lang="en-US" sz="16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638175</xdr:colOff>
      <xdr:row>1</xdr:row>
      <xdr:rowOff>0</xdr:rowOff>
    </xdr:from>
    <xdr:to>
      <xdr:col>7</xdr:col>
      <xdr:colOff>704850</xdr:colOff>
      <xdr:row>1</xdr:row>
      <xdr:rowOff>190500</xdr:rowOff>
    </xdr:to>
    <xdr:sp macro="[0]!Next_Page" textlink="">
      <xdr:nvSpPr>
        <xdr:cNvPr id="5033" name="AutoShape 9">
          <a:hlinkClick xmlns:r="http://schemas.openxmlformats.org/officeDocument/2006/relationships" r:id="rId1"/>
          <a:extLst>
            <a:ext uri="{FF2B5EF4-FFF2-40B4-BE49-F238E27FC236}">
              <a16:creationId xmlns:a16="http://schemas.microsoft.com/office/drawing/2014/main" id="{00000000-0008-0000-0700-0000A9130000}"/>
            </a:ext>
          </a:extLst>
        </xdr:cNvPr>
        <xdr:cNvSpPr>
          <a:spLocks noChangeArrowheads="1"/>
        </xdr:cNvSpPr>
      </xdr:nvSpPr>
      <xdr:spPr bwMode="auto">
        <a:xfrm>
          <a:off x="7800975" y="219075"/>
          <a:ext cx="866775" cy="190500"/>
        </a:xfrm>
        <a:prstGeom prst="rightArrow">
          <a:avLst>
            <a:gd name="adj1" fmla="val 50000"/>
            <a:gd name="adj2" fmla="val 113750"/>
          </a:avLst>
        </a:prstGeom>
        <a:solidFill>
          <a:srgbClr val="C0C0C0"/>
        </a:solidFill>
        <a:ln w="9525">
          <a:solidFill>
            <a:srgbClr val="000000"/>
          </a:solidFill>
          <a:miter lim="800000"/>
          <a:headEnd/>
          <a:tailEnd/>
        </a:ln>
      </xdr:spPr>
    </xdr:sp>
    <xdr:clientData/>
  </xdr:twoCellAnchor>
  <xdr:twoCellAnchor>
    <xdr:from>
      <xdr:col>5</xdr:col>
      <xdr:colOff>438150</xdr:colOff>
      <xdr:row>1</xdr:row>
      <xdr:rowOff>0</xdr:rowOff>
    </xdr:from>
    <xdr:to>
      <xdr:col>6</xdr:col>
      <xdr:colOff>533400</xdr:colOff>
      <xdr:row>1</xdr:row>
      <xdr:rowOff>190500</xdr:rowOff>
    </xdr:to>
    <xdr:sp macro="[0]!Pageback" textlink="">
      <xdr:nvSpPr>
        <xdr:cNvPr id="5034" name="AutoShape 10">
          <a:hlinkClick xmlns:r="http://schemas.openxmlformats.org/officeDocument/2006/relationships" r:id="rId2"/>
          <a:extLst>
            <a:ext uri="{FF2B5EF4-FFF2-40B4-BE49-F238E27FC236}">
              <a16:creationId xmlns:a16="http://schemas.microsoft.com/office/drawing/2014/main" id="{00000000-0008-0000-0700-0000AA130000}"/>
            </a:ext>
          </a:extLst>
        </xdr:cNvPr>
        <xdr:cNvSpPr>
          <a:spLocks noChangeArrowheads="1"/>
        </xdr:cNvSpPr>
      </xdr:nvSpPr>
      <xdr:spPr bwMode="auto">
        <a:xfrm>
          <a:off x="6905625" y="219075"/>
          <a:ext cx="790575" cy="190500"/>
        </a:xfrm>
        <a:prstGeom prst="leftArrow">
          <a:avLst>
            <a:gd name="adj1" fmla="val 50000"/>
            <a:gd name="adj2" fmla="val 103750"/>
          </a:avLst>
        </a:prstGeom>
        <a:solidFill>
          <a:srgbClr val="C0C0C0"/>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absoluteAnchor>
    <xdr:pos x="0" y="0"/>
    <xdr:ext cx="9198429" cy="5606143"/>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9887D9-7A03-634C-89F0-D0062FBAA3E5}" name="Table1" displayName="Table1" ref="AV2:AX12" totalsRowShown="0" headerRowDxfId="0" dataDxfId="14">
  <autoFilter ref="AV2:AX12" xr:uid="{749887D9-7A03-634C-89F0-D0062FBAA3E5}"/>
  <tableColumns count="3">
    <tableColumn id="1" xr3:uid="{F52A6FFE-3F19-1141-B317-7103F2DEFB2D}" name="Job Family" dataDxfId="13"/>
    <tableColumn id="2" xr3:uid="{2C8F9AC6-DB68-7945-8714-7B48A7A9A447}" name="Compliance Objective" dataDxfId="12"/>
    <tableColumn id="3" xr3:uid="{753AAA38-9687-3B42-BB09-2279610B9F1D}" name="Measurement" dataDxfId="11"/>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indexed="30"/>
    <pageSetUpPr autoPageBreaks="0"/>
  </sheetPr>
  <dimension ref="A1:AY310"/>
  <sheetViews>
    <sheetView showGridLines="0" tabSelected="1" zoomScale="125" zoomScaleNormal="100" zoomScaleSheetLayoutView="150" workbookViewId="0">
      <selection activeCell="G22" sqref="G22"/>
    </sheetView>
  </sheetViews>
  <sheetFormatPr baseColWidth="10" defaultColWidth="9.1640625" defaultRowHeight="15"/>
  <cols>
    <col min="1" max="1" width="4" style="21" customWidth="1"/>
    <col min="2" max="2" width="7.6640625" style="21" customWidth="1"/>
    <col min="3" max="3" width="11.5" style="21" customWidth="1"/>
    <col min="4" max="4" width="14.33203125" style="21" customWidth="1"/>
    <col min="5" max="5" width="6.5" style="21" customWidth="1"/>
    <col min="6" max="6" width="13.33203125" style="21" customWidth="1"/>
    <col min="7" max="7" width="3.1640625" style="21" customWidth="1"/>
    <col min="8" max="8" width="25.33203125" style="21" bestFit="1" customWidth="1"/>
    <col min="9" max="9" width="6.83203125" style="21" customWidth="1"/>
    <col min="10" max="10" width="11.5" style="21" customWidth="1"/>
    <col min="11" max="11" width="4.1640625" style="21" customWidth="1"/>
    <col min="12" max="12" width="11.1640625" style="21" customWidth="1"/>
    <col min="13" max="13" width="4.1640625" style="21" customWidth="1"/>
    <col min="14" max="32" width="5.6640625" style="21" customWidth="1"/>
    <col min="33" max="39" width="9.1640625" style="21" customWidth="1"/>
    <col min="40" max="40" width="23.1640625" style="21" hidden="1" customWidth="1"/>
    <col min="41" max="42" width="9.1640625" style="21" hidden="1" customWidth="1"/>
    <col min="43" max="43" width="6.5" style="21" hidden="1" customWidth="1"/>
    <col min="44" max="44" width="38.6640625" style="21" hidden="1" customWidth="1"/>
    <col min="45" max="45" width="23.1640625" style="225" customWidth="1"/>
    <col min="46" max="53" width="9.1640625" style="21" customWidth="1"/>
    <col min="54" max="16384" width="9.1640625" style="21"/>
  </cols>
  <sheetData>
    <row r="1" spans="1:49" s="10" customFormat="1" ht="16" thickBot="1">
      <c r="A1" s="11"/>
      <c r="B1" s="11"/>
      <c r="C1" s="11"/>
      <c r="D1" s="11"/>
      <c r="E1" s="11"/>
      <c r="F1" s="11"/>
      <c r="G1" s="11"/>
      <c r="H1" s="11"/>
      <c r="I1" s="11"/>
      <c r="J1" s="11"/>
      <c r="K1" s="11"/>
      <c r="L1" s="11"/>
      <c r="M1" s="11"/>
      <c r="N1" s="11"/>
      <c r="AN1" s="584" t="s">
        <v>31</v>
      </c>
      <c r="AO1" s="584" t="s">
        <v>71</v>
      </c>
      <c r="AP1" s="584"/>
      <c r="AQ1" s="584" t="s">
        <v>245</v>
      </c>
      <c r="AR1" s="584" t="s">
        <v>156</v>
      </c>
      <c r="AS1" s="225"/>
    </row>
    <row r="2" spans="1:49" s="12" customFormat="1" ht="45" customHeight="1" thickBot="1">
      <c r="A2" s="281" t="s">
        <v>60</v>
      </c>
      <c r="B2" s="282"/>
      <c r="C2" s="282"/>
      <c r="D2" s="282"/>
      <c r="E2" s="282"/>
      <c r="F2" s="282"/>
      <c r="G2" s="282"/>
      <c r="H2" s="282"/>
      <c r="I2" s="282"/>
      <c r="J2" s="282"/>
      <c r="K2" s="282"/>
      <c r="L2" s="282"/>
      <c r="M2" s="282"/>
      <c r="N2" s="283"/>
      <c r="O2" s="97"/>
      <c r="P2" s="97"/>
      <c r="Q2" s="97"/>
      <c r="R2" s="97"/>
      <c r="S2" s="97"/>
      <c r="T2" s="97"/>
      <c r="U2" s="97"/>
      <c r="V2" s="97"/>
      <c r="W2" s="97"/>
      <c r="X2" s="97"/>
      <c r="Y2" s="97"/>
      <c r="Z2" s="97"/>
      <c r="AA2" s="97"/>
      <c r="AB2" s="97"/>
      <c r="AC2" s="97"/>
      <c r="AD2" s="97"/>
      <c r="AE2" s="97"/>
      <c r="AF2" s="97"/>
      <c r="AN2" s="575"/>
      <c r="AO2" s="575"/>
      <c r="AP2" s="575"/>
      <c r="AQ2" s="575"/>
      <c r="AR2" s="576" t="s">
        <v>357</v>
      </c>
      <c r="AS2" s="577"/>
    </row>
    <row r="3" spans="1:49" s="10" customFormat="1" ht="22.5" customHeight="1" thickBot="1">
      <c r="A3" s="13"/>
      <c r="E3" s="112"/>
      <c r="N3" s="14"/>
      <c r="AN3" s="578" t="s">
        <v>158</v>
      </c>
      <c r="AO3" s="579"/>
      <c r="AP3" s="579"/>
      <c r="AQ3" s="580" t="s">
        <v>247</v>
      </c>
      <c r="AR3" s="576" t="s">
        <v>258</v>
      </c>
      <c r="AS3" s="579"/>
    </row>
    <row r="4" spans="1:49" s="10" customFormat="1" ht="21.75" customHeight="1" thickBot="1">
      <c r="A4" s="15"/>
      <c r="H4" s="25" t="s">
        <v>28</v>
      </c>
      <c r="I4" s="46" t="s">
        <v>30</v>
      </c>
      <c r="J4" s="146"/>
      <c r="K4" s="46" t="s">
        <v>29</v>
      </c>
      <c r="L4" s="146"/>
      <c r="N4" s="17"/>
      <c r="AN4" s="578" t="s">
        <v>300</v>
      </c>
      <c r="AO4" s="579"/>
      <c r="AP4" s="579"/>
      <c r="AQ4" s="580" t="s">
        <v>246</v>
      </c>
      <c r="AR4" s="576" t="s">
        <v>259</v>
      </c>
      <c r="AS4" s="579"/>
    </row>
    <row r="5" spans="1:49" s="10" customFormat="1" ht="17" thickBot="1">
      <c r="A5" s="15"/>
      <c r="N5" s="17"/>
      <c r="AN5" s="578" t="s">
        <v>252</v>
      </c>
      <c r="AO5" s="579"/>
      <c r="AP5" s="579"/>
      <c r="AQ5" s="580" t="s">
        <v>248</v>
      </c>
      <c r="AR5" s="576" t="s">
        <v>260</v>
      </c>
      <c r="AS5" s="579"/>
    </row>
    <row r="6" spans="1:49" s="10" customFormat="1" ht="21.75" customHeight="1" thickBot="1">
      <c r="A6" s="15"/>
      <c r="C6" s="22" t="s">
        <v>0</v>
      </c>
      <c r="D6" s="284"/>
      <c r="E6" s="285"/>
      <c r="F6" s="286"/>
      <c r="I6" s="22" t="s">
        <v>1</v>
      </c>
      <c r="J6" s="284"/>
      <c r="K6" s="285"/>
      <c r="L6" s="285"/>
      <c r="M6" s="286"/>
      <c r="N6" s="17"/>
      <c r="AN6" s="578" t="s">
        <v>157</v>
      </c>
      <c r="AO6" s="579"/>
      <c r="AP6" s="579"/>
      <c r="AQ6" s="580" t="s">
        <v>249</v>
      </c>
      <c r="AR6" s="576" t="s">
        <v>261</v>
      </c>
      <c r="AS6" s="579"/>
    </row>
    <row r="7" spans="1:49" s="10" customFormat="1" ht="3.75" customHeight="1" thickBot="1">
      <c r="A7" s="15"/>
      <c r="C7" s="22"/>
      <c r="D7" s="18"/>
      <c r="E7" s="18"/>
      <c r="F7" s="18"/>
      <c r="I7" s="22"/>
      <c r="J7" s="16"/>
      <c r="N7" s="17"/>
      <c r="AN7" s="578" t="s">
        <v>301</v>
      </c>
      <c r="AO7" s="579"/>
      <c r="AP7" s="579"/>
      <c r="AQ7" s="580" t="s">
        <v>250</v>
      </c>
      <c r="AR7" s="576" t="s">
        <v>262</v>
      </c>
      <c r="AS7" s="579"/>
    </row>
    <row r="8" spans="1:49" s="10" customFormat="1" ht="21.75" customHeight="1" thickBot="1">
      <c r="A8" s="15"/>
      <c r="C8" s="22" t="s">
        <v>2</v>
      </c>
      <c r="D8" s="284"/>
      <c r="E8" s="285"/>
      <c r="F8" s="286"/>
      <c r="I8" s="22" t="s">
        <v>2</v>
      </c>
      <c r="J8" s="284"/>
      <c r="K8" s="285"/>
      <c r="L8" s="285"/>
      <c r="M8" s="286"/>
      <c r="N8" s="17"/>
      <c r="AN8" s="578" t="s">
        <v>253</v>
      </c>
      <c r="AO8" s="579"/>
      <c r="AP8" s="579"/>
      <c r="AQ8" s="580" t="s">
        <v>251</v>
      </c>
      <c r="AR8" s="576" t="s">
        <v>263</v>
      </c>
      <c r="AS8" s="579"/>
    </row>
    <row r="9" spans="1:49" s="10" customFormat="1" ht="4.5" customHeight="1" thickBot="1">
      <c r="A9" s="15"/>
      <c r="C9" s="22"/>
      <c r="D9" s="16"/>
      <c r="E9" s="16"/>
      <c r="F9" s="16"/>
      <c r="I9" s="23"/>
      <c r="J9" s="16"/>
      <c r="N9" s="17"/>
      <c r="AN9" s="578" t="s">
        <v>302</v>
      </c>
      <c r="AO9" s="579"/>
      <c r="AP9" s="579"/>
      <c r="AQ9" s="580"/>
      <c r="AR9" s="576" t="s">
        <v>264</v>
      </c>
      <c r="AS9" s="579"/>
    </row>
    <row r="10" spans="1:49" s="10" customFormat="1" ht="21.75" customHeight="1" thickBot="1">
      <c r="A10" s="15"/>
      <c r="C10" s="22" t="s">
        <v>31</v>
      </c>
      <c r="D10" s="284"/>
      <c r="E10" s="285"/>
      <c r="F10" s="286"/>
      <c r="I10" s="22" t="s">
        <v>3</v>
      </c>
      <c r="J10" s="287"/>
      <c r="K10" s="288"/>
      <c r="L10" s="288"/>
      <c r="M10" s="289"/>
      <c r="N10" s="17"/>
      <c r="AN10" s="578" t="s">
        <v>254</v>
      </c>
      <c r="AO10" s="579"/>
      <c r="AP10" s="579"/>
      <c r="AQ10" s="579"/>
      <c r="AR10" s="576" t="s">
        <v>265</v>
      </c>
      <c r="AS10" s="579"/>
      <c r="AW10" s="89"/>
    </row>
    <row r="11" spans="1:49" s="10" customFormat="1" ht="4" customHeight="1" thickBot="1">
      <c r="A11" s="15"/>
      <c r="C11" s="23"/>
      <c r="D11" s="16"/>
      <c r="E11" s="16"/>
      <c r="F11" s="16"/>
      <c r="I11" s="24"/>
      <c r="J11" s="16"/>
      <c r="N11" s="17"/>
      <c r="AN11" s="578" t="s">
        <v>303</v>
      </c>
      <c r="AO11" s="579"/>
      <c r="AP11" s="579"/>
      <c r="AQ11" s="579"/>
      <c r="AR11" s="576" t="s">
        <v>266</v>
      </c>
      <c r="AS11" s="579"/>
    </row>
    <row r="12" spans="1:49" s="10" customFormat="1" ht="18" customHeight="1" thickBot="1">
      <c r="A12" s="15"/>
      <c r="C12" s="22" t="s">
        <v>34</v>
      </c>
      <c r="D12" s="284"/>
      <c r="E12" s="285"/>
      <c r="F12" s="286"/>
      <c r="I12" s="22" t="s">
        <v>156</v>
      </c>
      <c r="J12" s="287"/>
      <c r="K12" s="288"/>
      <c r="L12" s="288"/>
      <c r="M12" s="289"/>
      <c r="N12" s="17"/>
      <c r="AN12" s="578" t="s">
        <v>160</v>
      </c>
      <c r="AO12" s="579"/>
      <c r="AP12" s="579"/>
      <c r="AQ12" s="579"/>
      <c r="AR12" s="576" t="s">
        <v>267</v>
      </c>
      <c r="AS12" s="579"/>
    </row>
    <row r="13" spans="1:49" s="10" customFormat="1" ht="4" customHeight="1" thickBot="1">
      <c r="A13" s="15"/>
      <c r="N13" s="17"/>
      <c r="AN13" s="578" t="s">
        <v>163</v>
      </c>
      <c r="AO13" s="579"/>
      <c r="AP13" s="579"/>
      <c r="AQ13" s="579"/>
      <c r="AR13" s="581" t="s">
        <v>268</v>
      </c>
      <c r="AS13" s="579"/>
    </row>
    <row r="14" spans="1:49" s="10" customFormat="1" ht="17" thickBot="1">
      <c r="A14" s="15"/>
      <c r="C14" s="22" t="s">
        <v>245</v>
      </c>
      <c r="D14" s="284"/>
      <c r="E14" s="285"/>
      <c r="F14" s="286"/>
      <c r="N14" s="17"/>
      <c r="AN14" s="578" t="s">
        <v>304</v>
      </c>
      <c r="AO14" s="580" t="s">
        <v>41</v>
      </c>
      <c r="AP14" s="579"/>
      <c r="AQ14" s="579"/>
      <c r="AR14" s="576" t="s">
        <v>269</v>
      </c>
      <c r="AS14" s="579"/>
    </row>
    <row r="15" spans="1:49" s="10" customFormat="1" ht="20.25" customHeight="1" thickBot="1">
      <c r="A15" s="15"/>
      <c r="I15" s="16"/>
      <c r="J15" s="16"/>
      <c r="N15" s="17"/>
      <c r="AN15" s="578" t="s">
        <v>162</v>
      </c>
      <c r="AO15" s="580" t="s">
        <v>100</v>
      </c>
      <c r="AP15" s="579"/>
      <c r="AQ15" s="579"/>
      <c r="AR15" s="576" t="s">
        <v>344</v>
      </c>
      <c r="AS15" s="579"/>
    </row>
    <row r="16" spans="1:49" s="10" customFormat="1" ht="20.25" customHeight="1" thickBot="1">
      <c r="A16" s="15"/>
      <c r="D16" s="291" t="s">
        <v>71</v>
      </c>
      <c r="E16" s="292"/>
      <c r="F16" s="292"/>
      <c r="G16" s="292"/>
      <c r="H16" s="198"/>
      <c r="N16" s="17"/>
      <c r="AN16" s="578" t="s">
        <v>161</v>
      </c>
      <c r="AO16" s="580" t="s">
        <v>101</v>
      </c>
      <c r="AP16" s="579"/>
      <c r="AQ16" s="579"/>
      <c r="AR16" s="576" t="s">
        <v>345</v>
      </c>
      <c r="AS16" s="579"/>
    </row>
    <row r="17" spans="1:45" s="10" customFormat="1" ht="20.25" customHeight="1">
      <c r="A17" s="15"/>
      <c r="D17" s="290"/>
      <c r="E17" s="290"/>
      <c r="F17" s="290"/>
      <c r="G17" s="290"/>
      <c r="H17" s="18"/>
      <c r="N17" s="17"/>
      <c r="AN17" s="578" t="s">
        <v>255</v>
      </c>
      <c r="AO17" s="580" t="s">
        <v>174</v>
      </c>
      <c r="AP17" s="579"/>
      <c r="AQ17" s="579"/>
      <c r="AR17" s="576" t="s">
        <v>346</v>
      </c>
      <c r="AS17" s="579"/>
    </row>
    <row r="18" spans="1:45" s="10" customFormat="1" ht="20.25" customHeight="1">
      <c r="A18" s="15"/>
      <c r="N18" s="17"/>
      <c r="AN18" s="578" t="s">
        <v>256</v>
      </c>
      <c r="AO18" s="580"/>
      <c r="AP18" s="579"/>
      <c r="AQ18" s="579"/>
      <c r="AR18" s="576" t="s">
        <v>305</v>
      </c>
      <c r="AS18" s="579"/>
    </row>
    <row r="19" spans="1:45" s="10" customFormat="1" ht="16">
      <c r="A19" s="15"/>
      <c r="N19" s="17"/>
      <c r="AN19" s="578" t="s">
        <v>164</v>
      </c>
      <c r="AO19" s="579"/>
      <c r="AP19" s="579"/>
      <c r="AQ19" s="579"/>
      <c r="AR19" s="582"/>
      <c r="AS19" s="579"/>
    </row>
    <row r="20" spans="1:45" s="10" customFormat="1" ht="16">
      <c r="A20" s="15"/>
      <c r="N20" s="17"/>
      <c r="AN20" s="578" t="s">
        <v>257</v>
      </c>
      <c r="AO20" s="579"/>
      <c r="AP20" s="579"/>
      <c r="AQ20" s="579"/>
      <c r="AR20" s="582"/>
      <c r="AS20" s="579"/>
    </row>
    <row r="21" spans="1:45" s="10" customFormat="1" ht="16">
      <c r="A21" s="293"/>
      <c r="B21" s="294"/>
      <c r="C21" s="294"/>
      <c r="D21" s="294"/>
      <c r="E21" s="294"/>
      <c r="F21" s="294"/>
      <c r="G21" s="294"/>
      <c r="H21" s="294"/>
      <c r="I21" s="294"/>
      <c r="J21" s="294"/>
      <c r="K21" s="294"/>
      <c r="L21" s="294"/>
      <c r="M21" s="294"/>
      <c r="N21" s="295"/>
      <c r="O21" s="18"/>
      <c r="P21" s="18"/>
      <c r="Q21" s="18"/>
      <c r="R21" s="18"/>
      <c r="S21" s="18"/>
      <c r="T21" s="18"/>
      <c r="U21" s="18"/>
      <c r="V21" s="18"/>
      <c r="W21" s="18"/>
      <c r="X21" s="18"/>
      <c r="Y21" s="18"/>
      <c r="Z21" s="18"/>
      <c r="AA21" s="18"/>
      <c r="AB21" s="18"/>
      <c r="AC21" s="18"/>
      <c r="AD21" s="18"/>
      <c r="AE21" s="18"/>
      <c r="AF21" s="18"/>
      <c r="AN21" s="578" t="s">
        <v>159</v>
      </c>
      <c r="AO21" s="579"/>
      <c r="AP21" s="579"/>
      <c r="AQ21" s="579"/>
      <c r="AR21" s="582"/>
      <c r="AS21" s="579"/>
    </row>
    <row r="22" spans="1:45" s="10" customFormat="1" ht="16">
      <c r="A22" s="15"/>
      <c r="N22" s="17"/>
      <c r="AN22" s="578" t="s">
        <v>305</v>
      </c>
      <c r="AO22" s="579"/>
      <c r="AP22" s="579"/>
      <c r="AQ22" s="579"/>
      <c r="AR22" s="582"/>
      <c r="AS22" s="579"/>
    </row>
    <row r="23" spans="1:45" s="10" customFormat="1" ht="16">
      <c r="A23" s="15"/>
      <c r="N23" s="17"/>
      <c r="AN23" s="578"/>
      <c r="AO23" s="579"/>
      <c r="AP23" s="579"/>
      <c r="AQ23" s="579"/>
      <c r="AR23" s="582"/>
      <c r="AS23" s="579"/>
    </row>
    <row r="24" spans="1:45" s="10" customFormat="1" ht="16" customHeight="1">
      <c r="A24" s="15"/>
      <c r="N24" s="17"/>
      <c r="AN24" s="583"/>
      <c r="AO24" s="579"/>
      <c r="AP24" s="579"/>
      <c r="AQ24" s="579"/>
      <c r="AR24" s="582"/>
      <c r="AS24" s="579"/>
    </row>
    <row r="25" spans="1:45" s="10" customFormat="1">
      <c r="A25" s="15"/>
      <c r="N25" s="17"/>
      <c r="AN25" s="579"/>
      <c r="AO25" s="579"/>
      <c r="AP25" s="579"/>
      <c r="AQ25" s="579"/>
      <c r="AR25" s="582"/>
      <c r="AS25" s="582"/>
    </row>
    <row r="26" spans="1:45" s="10" customFormat="1">
      <c r="A26" s="15"/>
      <c r="N26" s="17"/>
      <c r="AN26" s="579"/>
      <c r="AO26" s="579"/>
      <c r="AP26" s="579"/>
      <c r="AQ26" s="579"/>
      <c r="AR26" s="582"/>
      <c r="AS26" s="582"/>
    </row>
    <row r="27" spans="1:45" s="10" customFormat="1">
      <c r="A27" s="15"/>
      <c r="N27" s="17"/>
      <c r="AR27"/>
      <c r="AS27"/>
    </row>
    <row r="28" spans="1:45" s="10" customFormat="1">
      <c r="A28" s="15"/>
      <c r="N28" s="17"/>
      <c r="AR28"/>
      <c r="AS28"/>
    </row>
    <row r="29" spans="1:45" s="10" customFormat="1">
      <c r="A29" s="15"/>
      <c r="N29" s="17"/>
      <c r="AR29"/>
      <c r="AS29"/>
    </row>
    <row r="30" spans="1:45" s="10" customFormat="1">
      <c r="A30" s="15"/>
      <c r="N30" s="17"/>
      <c r="AR30"/>
      <c r="AS30"/>
    </row>
    <row r="31" spans="1:45" s="10" customFormat="1">
      <c r="A31" s="15"/>
      <c r="N31" s="17"/>
      <c r="AR31"/>
      <c r="AS31"/>
    </row>
    <row r="32" spans="1:45" s="10" customFormat="1">
      <c r="A32" s="278"/>
      <c r="B32" s="279"/>
      <c r="C32" s="279"/>
      <c r="D32" s="279"/>
      <c r="E32" s="279"/>
      <c r="F32" s="279"/>
      <c r="G32" s="279"/>
      <c r="H32" s="279"/>
      <c r="I32" s="279"/>
      <c r="J32" s="279"/>
      <c r="K32" s="279"/>
      <c r="L32" s="279"/>
      <c r="M32" s="279"/>
      <c r="N32" s="280"/>
      <c r="O32" s="68"/>
      <c r="P32" s="68"/>
      <c r="Q32" s="68"/>
      <c r="R32" s="68"/>
      <c r="S32" s="68"/>
      <c r="T32" s="68"/>
      <c r="U32" s="68"/>
      <c r="V32" s="68"/>
      <c r="W32" s="68"/>
      <c r="X32" s="68"/>
      <c r="Y32" s="68"/>
      <c r="Z32" s="68"/>
      <c r="AA32" s="68"/>
      <c r="AB32" s="68"/>
      <c r="AC32" s="68"/>
      <c r="AD32" s="68"/>
      <c r="AE32" s="68"/>
      <c r="AF32" s="68"/>
      <c r="AR32"/>
      <c r="AS32"/>
    </row>
    <row r="33" spans="1:45" s="10" customFormat="1" ht="16" thickBot="1">
      <c r="A33" s="19"/>
      <c r="B33" s="11"/>
      <c r="C33" s="11"/>
      <c r="D33" s="11"/>
      <c r="E33" s="11"/>
      <c r="F33" s="11"/>
      <c r="G33" s="11"/>
      <c r="H33" s="11"/>
      <c r="I33" s="11"/>
      <c r="J33" s="11"/>
      <c r="K33" s="11"/>
      <c r="L33" s="11"/>
      <c r="M33" s="11"/>
      <c r="N33" s="20"/>
      <c r="AR33"/>
      <c r="AS33"/>
    </row>
    <row r="34" spans="1:45" s="10" customFormat="1">
      <c r="AR34"/>
      <c r="AS34"/>
    </row>
    <row r="35" spans="1:45" s="10" customFormat="1">
      <c r="AR35"/>
      <c r="AS35"/>
    </row>
    <row r="36" spans="1:45" s="10" customFormat="1">
      <c r="AR36"/>
      <c r="AS36"/>
    </row>
    <row r="37" spans="1:45" s="10" customFormat="1">
      <c r="AR37"/>
      <c r="AS37"/>
    </row>
    <row r="38" spans="1:45" s="10" customFormat="1">
      <c r="AR38"/>
      <c r="AS38"/>
    </row>
    <row r="39" spans="1:45" s="10" customFormat="1">
      <c r="AR39"/>
      <c r="AS39"/>
    </row>
    <row r="40" spans="1:45" s="10" customFormat="1">
      <c r="AR40"/>
      <c r="AS40"/>
    </row>
    <row r="41" spans="1:45" s="10" customFormat="1">
      <c r="AR41"/>
      <c r="AS41"/>
    </row>
    <row r="42" spans="1:45" s="10" customFormat="1">
      <c r="AR42"/>
      <c r="AS42"/>
    </row>
    <row r="43" spans="1:45" s="10" customFormat="1">
      <c r="AR43"/>
      <c r="AS43"/>
    </row>
    <row r="44" spans="1:45" s="10" customFormat="1">
      <c r="AR44"/>
      <c r="AS44"/>
    </row>
    <row r="45" spans="1:45" s="10" customFormat="1">
      <c r="AR45"/>
      <c r="AS45"/>
    </row>
    <row r="46" spans="1:45" s="10" customFormat="1">
      <c r="AR46"/>
      <c r="AS46"/>
    </row>
    <row r="47" spans="1:45" s="10" customFormat="1">
      <c r="AR47"/>
      <c r="AS47"/>
    </row>
    <row r="48" spans="1:45" s="10" customFormat="1">
      <c r="AR48"/>
      <c r="AS48"/>
    </row>
    <row r="49" spans="44:45" s="10" customFormat="1">
      <c r="AR49"/>
      <c r="AS49"/>
    </row>
    <row r="50" spans="44:45" s="10" customFormat="1">
      <c r="AR50"/>
      <c r="AS50"/>
    </row>
    <row r="51" spans="44:45" s="10" customFormat="1">
      <c r="AR51"/>
      <c r="AS51"/>
    </row>
    <row r="52" spans="44:45" s="10" customFormat="1">
      <c r="AR52"/>
      <c r="AS52"/>
    </row>
    <row r="53" spans="44:45" s="10" customFormat="1">
      <c r="AR53"/>
      <c r="AS53"/>
    </row>
    <row r="54" spans="44:45" s="10" customFormat="1">
      <c r="AR54"/>
      <c r="AS54"/>
    </row>
    <row r="55" spans="44:45" s="10" customFormat="1">
      <c r="AR55"/>
      <c r="AS55"/>
    </row>
    <row r="56" spans="44:45" s="10" customFormat="1">
      <c r="AR56"/>
      <c r="AS56"/>
    </row>
    <row r="57" spans="44:45" s="10" customFormat="1">
      <c r="AR57"/>
      <c r="AS57"/>
    </row>
    <row r="58" spans="44:45" s="10" customFormat="1">
      <c r="AR58"/>
      <c r="AS58"/>
    </row>
    <row r="59" spans="44:45" s="10" customFormat="1">
      <c r="AR59"/>
      <c r="AS59"/>
    </row>
    <row r="60" spans="44:45" s="10" customFormat="1">
      <c r="AR60"/>
      <c r="AS60"/>
    </row>
    <row r="61" spans="44:45" s="10" customFormat="1">
      <c r="AR61"/>
      <c r="AS61"/>
    </row>
    <row r="62" spans="44:45" s="10" customFormat="1">
      <c r="AR62"/>
      <c r="AS62"/>
    </row>
    <row r="63" spans="44:45" s="10" customFormat="1">
      <c r="AR63"/>
      <c r="AS63"/>
    </row>
    <row r="64" spans="44:45" s="10" customFormat="1">
      <c r="AR64"/>
      <c r="AS64"/>
    </row>
    <row r="65" spans="44:45">
      <c r="AR65"/>
      <c r="AS65"/>
    </row>
    <row r="66" spans="44:45">
      <c r="AR66"/>
      <c r="AS66"/>
    </row>
    <row r="67" spans="44:45">
      <c r="AR67"/>
      <c r="AS67"/>
    </row>
    <row r="68" spans="44:45">
      <c r="AR68"/>
      <c r="AS68"/>
    </row>
    <row r="69" spans="44:45">
      <c r="AR69"/>
      <c r="AS69"/>
    </row>
    <row r="70" spans="44:45">
      <c r="AR70"/>
      <c r="AS70"/>
    </row>
    <row r="71" spans="44:45">
      <c r="AR71"/>
      <c r="AS71"/>
    </row>
    <row r="72" spans="44:45">
      <c r="AR72"/>
      <c r="AS72"/>
    </row>
    <row r="73" spans="44:45">
      <c r="AR73"/>
      <c r="AS73"/>
    </row>
    <row r="74" spans="44:45">
      <c r="AR74"/>
      <c r="AS74"/>
    </row>
    <row r="75" spans="44:45">
      <c r="AR75"/>
      <c r="AS75"/>
    </row>
    <row r="76" spans="44:45">
      <c r="AR76"/>
      <c r="AS76"/>
    </row>
    <row r="77" spans="44:45">
      <c r="AR77"/>
      <c r="AS77"/>
    </row>
    <row r="78" spans="44:45">
      <c r="AR78"/>
      <c r="AS78"/>
    </row>
    <row r="79" spans="44:45">
      <c r="AR79"/>
      <c r="AS79"/>
    </row>
    <row r="80" spans="44:45">
      <c r="AR80"/>
      <c r="AS80"/>
    </row>
    <row r="81" spans="44:45">
      <c r="AR81"/>
      <c r="AS81"/>
    </row>
    <row r="82" spans="44:45">
      <c r="AR82"/>
      <c r="AS82"/>
    </row>
    <row r="83" spans="44:45">
      <c r="AR83"/>
      <c r="AS83"/>
    </row>
    <row r="84" spans="44:45">
      <c r="AR84"/>
      <c r="AS84"/>
    </row>
    <row r="85" spans="44:45">
      <c r="AR85"/>
      <c r="AS85"/>
    </row>
    <row r="86" spans="44:45">
      <c r="AR86"/>
      <c r="AS86"/>
    </row>
    <row r="87" spans="44:45">
      <c r="AR87"/>
      <c r="AS87"/>
    </row>
    <row r="88" spans="44:45">
      <c r="AR88"/>
      <c r="AS88"/>
    </row>
    <row r="89" spans="44:45">
      <c r="AR89"/>
      <c r="AS89"/>
    </row>
    <row r="90" spans="44:45">
      <c r="AR90"/>
      <c r="AS90"/>
    </row>
    <row r="91" spans="44:45">
      <c r="AR91"/>
      <c r="AS91"/>
    </row>
    <row r="92" spans="44:45">
      <c r="AR92"/>
      <c r="AS92"/>
    </row>
    <row r="93" spans="44:45">
      <c r="AR93"/>
      <c r="AS93"/>
    </row>
    <row r="94" spans="44:45">
      <c r="AR94"/>
      <c r="AS94"/>
    </row>
    <row r="95" spans="44:45">
      <c r="AR95"/>
      <c r="AS95"/>
    </row>
    <row r="96" spans="44:45">
      <c r="AR96"/>
      <c r="AS96"/>
    </row>
    <row r="97" spans="44:45">
      <c r="AR97"/>
      <c r="AS97"/>
    </row>
    <row r="98" spans="44:45">
      <c r="AR98"/>
      <c r="AS98"/>
    </row>
    <row r="99" spans="44:45">
      <c r="AR99"/>
      <c r="AS99"/>
    </row>
    <row r="100" spans="44:45">
      <c r="AR100"/>
      <c r="AS100"/>
    </row>
    <row r="101" spans="44:45">
      <c r="AR101"/>
      <c r="AS101"/>
    </row>
    <row r="102" spans="44:45">
      <c r="AR102"/>
      <c r="AS102"/>
    </row>
    <row r="103" spans="44:45">
      <c r="AR103"/>
      <c r="AS103"/>
    </row>
    <row r="104" spans="44:45">
      <c r="AR104"/>
      <c r="AS104"/>
    </row>
    <row r="105" spans="44:45">
      <c r="AR105"/>
      <c r="AS105"/>
    </row>
    <row r="106" spans="44:45">
      <c r="AR106"/>
      <c r="AS106"/>
    </row>
    <row r="107" spans="44:45">
      <c r="AR107"/>
      <c r="AS107"/>
    </row>
    <row r="108" spans="44:45">
      <c r="AR108"/>
      <c r="AS108"/>
    </row>
    <row r="109" spans="44:45">
      <c r="AR109"/>
      <c r="AS109"/>
    </row>
    <row r="110" spans="44:45">
      <c r="AR110"/>
      <c r="AS110"/>
    </row>
    <row r="111" spans="44:45">
      <c r="AR111"/>
      <c r="AS111"/>
    </row>
    <row r="112" spans="44:45">
      <c r="AR112"/>
      <c r="AS112"/>
    </row>
    <row r="113" spans="44:45">
      <c r="AR113"/>
      <c r="AS113"/>
    </row>
    <row r="114" spans="44:45">
      <c r="AR114"/>
      <c r="AS114"/>
    </row>
    <row r="115" spans="44:45">
      <c r="AR115"/>
      <c r="AS115"/>
    </row>
    <row r="116" spans="44:45">
      <c r="AR116"/>
      <c r="AS116"/>
    </row>
    <row r="117" spans="44:45">
      <c r="AR117"/>
      <c r="AS117"/>
    </row>
    <row r="118" spans="44:45">
      <c r="AR118"/>
      <c r="AS118"/>
    </row>
    <row r="119" spans="44:45">
      <c r="AR119"/>
      <c r="AS119"/>
    </row>
    <row r="120" spans="44:45">
      <c r="AR120"/>
      <c r="AS120"/>
    </row>
    <row r="121" spans="44:45">
      <c r="AR121"/>
      <c r="AS121"/>
    </row>
    <row r="122" spans="44:45">
      <c r="AR122"/>
      <c r="AS122"/>
    </row>
    <row r="123" spans="44:45">
      <c r="AR123"/>
      <c r="AS123"/>
    </row>
    <row r="124" spans="44:45">
      <c r="AR124"/>
      <c r="AS124"/>
    </row>
    <row r="125" spans="44:45">
      <c r="AR125"/>
      <c r="AS125"/>
    </row>
    <row r="126" spans="44:45">
      <c r="AR126"/>
      <c r="AS126"/>
    </row>
    <row r="127" spans="44:45">
      <c r="AR127"/>
      <c r="AS127"/>
    </row>
    <row r="128" spans="44:45">
      <c r="AR128"/>
      <c r="AS128"/>
    </row>
    <row r="129" spans="44:45">
      <c r="AR129"/>
      <c r="AS129"/>
    </row>
    <row r="130" spans="44:45">
      <c r="AR130"/>
      <c r="AS130"/>
    </row>
    <row r="131" spans="44:45">
      <c r="AR131"/>
      <c r="AS131"/>
    </row>
    <row r="132" spans="44:45">
      <c r="AR132"/>
      <c r="AS132"/>
    </row>
    <row r="133" spans="44:45">
      <c r="AR133"/>
      <c r="AS133"/>
    </row>
    <row r="134" spans="44:45">
      <c r="AR134"/>
      <c r="AS134"/>
    </row>
    <row r="135" spans="44:45">
      <c r="AR135"/>
      <c r="AS135"/>
    </row>
    <row r="136" spans="44:45">
      <c r="AR136"/>
      <c r="AS136"/>
    </row>
    <row r="137" spans="44:45">
      <c r="AR137"/>
      <c r="AS137"/>
    </row>
    <row r="138" spans="44:45">
      <c r="AR138"/>
      <c r="AS138"/>
    </row>
    <row r="139" spans="44:45">
      <c r="AR139"/>
      <c r="AS139"/>
    </row>
    <row r="140" spans="44:45">
      <c r="AR140"/>
      <c r="AS140"/>
    </row>
    <row r="141" spans="44:45" ht="16" customHeight="1">
      <c r="AR141"/>
      <c r="AS141"/>
    </row>
    <row r="142" spans="44:45">
      <c r="AR142"/>
      <c r="AS142"/>
    </row>
    <row r="143" spans="44:45" ht="15" customHeight="1">
      <c r="AR143"/>
      <c r="AS143"/>
    </row>
    <row r="144" spans="44:45">
      <c r="AR144"/>
      <c r="AS144"/>
    </row>
    <row r="145" spans="44:45">
      <c r="AR145"/>
      <c r="AS145"/>
    </row>
    <row r="146" spans="44:45">
      <c r="AR146"/>
      <c r="AS146"/>
    </row>
    <row r="147" spans="44:45">
      <c r="AR147"/>
      <c r="AS147"/>
    </row>
    <row r="148" spans="44:45">
      <c r="AR148"/>
      <c r="AS148"/>
    </row>
    <row r="149" spans="44:45">
      <c r="AR149"/>
      <c r="AS149"/>
    </row>
    <row r="150" spans="44:45">
      <c r="AR150"/>
      <c r="AS150"/>
    </row>
    <row r="151" spans="44:45">
      <c r="AR151"/>
      <c r="AS151"/>
    </row>
    <row r="152" spans="44:45">
      <c r="AR152"/>
      <c r="AS152"/>
    </row>
    <row r="153" spans="44:45">
      <c r="AR153"/>
      <c r="AS153"/>
    </row>
    <row r="154" spans="44:45">
      <c r="AR154"/>
      <c r="AS154"/>
    </row>
    <row r="155" spans="44:45">
      <c r="AR155"/>
      <c r="AS155"/>
    </row>
    <row r="156" spans="44:45">
      <c r="AR156"/>
      <c r="AS156"/>
    </row>
    <row r="157" spans="44:45">
      <c r="AR157"/>
      <c r="AS157"/>
    </row>
    <row r="158" spans="44:45">
      <c r="AR158"/>
      <c r="AS158"/>
    </row>
    <row r="159" spans="44:45">
      <c r="AR159"/>
      <c r="AS159"/>
    </row>
    <row r="160" spans="44:45">
      <c r="AR160"/>
      <c r="AS160"/>
    </row>
    <row r="161" spans="44:45">
      <c r="AR161"/>
      <c r="AS161"/>
    </row>
    <row r="162" spans="44:45">
      <c r="AR162"/>
      <c r="AS162"/>
    </row>
    <row r="163" spans="44:45">
      <c r="AR163"/>
      <c r="AS163"/>
    </row>
    <row r="164" spans="44:45">
      <c r="AR164"/>
      <c r="AS164"/>
    </row>
    <row r="165" spans="44:45">
      <c r="AR165"/>
      <c r="AS165"/>
    </row>
    <row r="166" spans="44:45">
      <c r="AR166"/>
      <c r="AS166"/>
    </row>
    <row r="167" spans="44:45">
      <c r="AR167"/>
      <c r="AS167"/>
    </row>
    <row r="168" spans="44:45">
      <c r="AR168"/>
      <c r="AS168"/>
    </row>
    <row r="169" spans="44:45">
      <c r="AR169"/>
      <c r="AS169"/>
    </row>
    <row r="170" spans="44:45">
      <c r="AR170"/>
      <c r="AS170"/>
    </row>
    <row r="171" spans="44:45">
      <c r="AR171"/>
      <c r="AS171"/>
    </row>
    <row r="172" spans="44:45">
      <c r="AR172"/>
      <c r="AS172"/>
    </row>
    <row r="173" spans="44:45">
      <c r="AR173"/>
      <c r="AS173"/>
    </row>
    <row r="174" spans="44:45">
      <c r="AR174"/>
      <c r="AS174"/>
    </row>
    <row r="175" spans="44:45">
      <c r="AR175"/>
      <c r="AS175"/>
    </row>
    <row r="176" spans="44:45">
      <c r="AR176"/>
      <c r="AS176"/>
    </row>
    <row r="177" spans="44:45">
      <c r="AR177"/>
      <c r="AS177"/>
    </row>
    <row r="178" spans="44:45">
      <c r="AR178"/>
      <c r="AS178"/>
    </row>
    <row r="179" spans="44:45">
      <c r="AR179"/>
      <c r="AS179"/>
    </row>
    <row r="180" spans="44:45">
      <c r="AR180"/>
      <c r="AS180"/>
    </row>
    <row r="181" spans="44:45">
      <c r="AR181"/>
      <c r="AS181"/>
    </row>
    <row r="182" spans="44:45">
      <c r="AR182"/>
      <c r="AS182"/>
    </row>
    <row r="183" spans="44:45">
      <c r="AR183"/>
      <c r="AS183"/>
    </row>
    <row r="184" spans="44:45">
      <c r="AR184"/>
      <c r="AS184"/>
    </row>
    <row r="185" spans="44:45">
      <c r="AR185"/>
      <c r="AS185"/>
    </row>
    <row r="186" spans="44:45">
      <c r="AR186"/>
      <c r="AS186"/>
    </row>
    <row r="187" spans="44:45">
      <c r="AR187"/>
      <c r="AS187"/>
    </row>
    <row r="188" spans="44:45" ht="15" customHeight="1">
      <c r="AR188"/>
      <c r="AS188"/>
    </row>
    <row r="189" spans="44:45">
      <c r="AR189"/>
      <c r="AS189"/>
    </row>
    <row r="190" spans="44:45">
      <c r="AR190"/>
      <c r="AS190"/>
    </row>
    <row r="191" spans="44:45">
      <c r="AR191"/>
      <c r="AS191"/>
    </row>
    <row r="192" spans="44:45">
      <c r="AR192"/>
      <c r="AS192"/>
    </row>
    <row r="193" spans="44:45">
      <c r="AR193"/>
      <c r="AS193"/>
    </row>
    <row r="194" spans="44:45">
      <c r="AR194"/>
      <c r="AS194"/>
    </row>
    <row r="195" spans="44:45">
      <c r="AR195"/>
      <c r="AS195"/>
    </row>
    <row r="196" spans="44:45">
      <c r="AR196"/>
      <c r="AS196"/>
    </row>
    <row r="197" spans="44:45">
      <c r="AR197"/>
      <c r="AS197"/>
    </row>
    <row r="198" spans="44:45">
      <c r="AR198"/>
      <c r="AS198"/>
    </row>
    <row r="199" spans="44:45">
      <c r="AR199"/>
      <c r="AS199"/>
    </row>
    <row r="200" spans="44:45">
      <c r="AR200"/>
      <c r="AS200"/>
    </row>
    <row r="201" spans="44:45">
      <c r="AR201"/>
      <c r="AS201"/>
    </row>
    <row r="202" spans="44:45">
      <c r="AR202"/>
      <c r="AS202"/>
    </row>
    <row r="203" spans="44:45">
      <c r="AR203"/>
      <c r="AS203"/>
    </row>
    <row r="204" spans="44:45">
      <c r="AR204"/>
      <c r="AS204"/>
    </row>
    <row r="205" spans="44:45">
      <c r="AR205"/>
      <c r="AS205"/>
    </row>
    <row r="206" spans="44:45">
      <c r="AR206"/>
      <c r="AS206"/>
    </row>
    <row r="207" spans="44:45">
      <c r="AR207"/>
      <c r="AS207"/>
    </row>
    <row r="208" spans="44:45">
      <c r="AR208"/>
      <c r="AS208"/>
    </row>
    <row r="209" spans="44:45">
      <c r="AR209"/>
      <c r="AS209"/>
    </row>
    <row r="210" spans="44:45">
      <c r="AR210"/>
      <c r="AS210"/>
    </row>
    <row r="211" spans="44:45">
      <c r="AR211"/>
      <c r="AS211"/>
    </row>
    <row r="212" spans="44:45">
      <c r="AR212"/>
      <c r="AS212"/>
    </row>
    <row r="213" spans="44:45">
      <c r="AR213"/>
      <c r="AS213"/>
    </row>
    <row r="214" spans="44:45">
      <c r="AR214"/>
      <c r="AS214"/>
    </row>
    <row r="215" spans="44:45">
      <c r="AR215"/>
      <c r="AS215"/>
    </row>
    <row r="216" spans="44:45">
      <c r="AR216"/>
      <c r="AS216"/>
    </row>
    <row r="217" spans="44:45">
      <c r="AR217"/>
      <c r="AS217"/>
    </row>
    <row r="218" spans="44:45">
      <c r="AR218"/>
      <c r="AS218"/>
    </row>
    <row r="219" spans="44:45">
      <c r="AR219"/>
      <c r="AS219"/>
    </row>
    <row r="220" spans="44:45">
      <c r="AR220"/>
      <c r="AS220"/>
    </row>
    <row r="221" spans="44:45">
      <c r="AR221"/>
      <c r="AS221"/>
    </row>
    <row r="222" spans="44:45">
      <c r="AR222"/>
      <c r="AS222"/>
    </row>
    <row r="223" spans="44:45">
      <c r="AR223"/>
      <c r="AS223"/>
    </row>
    <row r="224" spans="44:45">
      <c r="AR224"/>
      <c r="AS224"/>
    </row>
    <row r="225" spans="44:45">
      <c r="AR225"/>
      <c r="AS225"/>
    </row>
    <row r="226" spans="44:45">
      <c r="AR226"/>
      <c r="AS226"/>
    </row>
    <row r="227" spans="44:45">
      <c r="AR227"/>
      <c r="AS227"/>
    </row>
    <row r="228" spans="44:45">
      <c r="AR228"/>
      <c r="AS228"/>
    </row>
    <row r="229" spans="44:45">
      <c r="AR229"/>
      <c r="AS229"/>
    </row>
    <row r="230" spans="44:45">
      <c r="AR230"/>
      <c r="AS230"/>
    </row>
    <row r="231" spans="44:45">
      <c r="AR231"/>
      <c r="AS231"/>
    </row>
    <row r="232" spans="44:45">
      <c r="AR232"/>
      <c r="AS232"/>
    </row>
    <row r="233" spans="44:45">
      <c r="AR233"/>
      <c r="AS233"/>
    </row>
    <row r="234" spans="44:45">
      <c r="AR234"/>
      <c r="AS234"/>
    </row>
    <row r="235" spans="44:45">
      <c r="AR235"/>
      <c r="AS235"/>
    </row>
    <row r="236" spans="44:45">
      <c r="AR236"/>
      <c r="AS236"/>
    </row>
    <row r="237" spans="44:45">
      <c r="AR237"/>
      <c r="AS237"/>
    </row>
    <row r="238" spans="44:45">
      <c r="AR238"/>
      <c r="AS238"/>
    </row>
    <row r="239" spans="44:45">
      <c r="AR239"/>
      <c r="AS239"/>
    </row>
    <row r="240" spans="44:45">
      <c r="AR240"/>
      <c r="AS240"/>
    </row>
    <row r="241" spans="44:45">
      <c r="AR241"/>
      <c r="AS241"/>
    </row>
    <row r="242" spans="44:45">
      <c r="AR242"/>
      <c r="AS242"/>
    </row>
    <row r="243" spans="44:45">
      <c r="AR243"/>
      <c r="AS243"/>
    </row>
    <row r="244" spans="44:45">
      <c r="AR244"/>
      <c r="AS244"/>
    </row>
    <row r="245" spans="44:45">
      <c r="AR245"/>
      <c r="AS245"/>
    </row>
    <row r="246" spans="44:45">
      <c r="AR246"/>
      <c r="AS246"/>
    </row>
    <row r="247" spans="44:45">
      <c r="AR247"/>
      <c r="AS247"/>
    </row>
    <row r="248" spans="44:45">
      <c r="AR248"/>
      <c r="AS248"/>
    </row>
    <row r="249" spans="44:45">
      <c r="AR249"/>
      <c r="AS249"/>
    </row>
    <row r="250" spans="44:45">
      <c r="AR250"/>
      <c r="AS250"/>
    </row>
    <row r="251" spans="44:45">
      <c r="AR251"/>
      <c r="AS251"/>
    </row>
    <row r="252" spans="44:45">
      <c r="AR252"/>
      <c r="AS252"/>
    </row>
    <row r="253" spans="44:45">
      <c r="AR253"/>
      <c r="AS253"/>
    </row>
    <row r="254" spans="44:45">
      <c r="AR254"/>
      <c r="AS254"/>
    </row>
    <row r="255" spans="44:45">
      <c r="AR255"/>
      <c r="AS255"/>
    </row>
    <row r="256" spans="44:45">
      <c r="AR256"/>
      <c r="AS256"/>
    </row>
    <row r="257" spans="44:45">
      <c r="AR257"/>
      <c r="AS257"/>
    </row>
    <row r="258" spans="44:45">
      <c r="AR258"/>
      <c r="AS258"/>
    </row>
    <row r="259" spans="44:45">
      <c r="AR259"/>
      <c r="AS259"/>
    </row>
    <row r="260" spans="44:45">
      <c r="AR260"/>
      <c r="AS260"/>
    </row>
    <row r="261" spans="44:45">
      <c r="AR261"/>
      <c r="AS261"/>
    </row>
    <row r="262" spans="44:45">
      <c r="AR262"/>
      <c r="AS262"/>
    </row>
    <row r="263" spans="44:45">
      <c r="AR263"/>
      <c r="AS263"/>
    </row>
    <row r="264" spans="44:45">
      <c r="AR264"/>
      <c r="AS264"/>
    </row>
    <row r="265" spans="44:45">
      <c r="AR265"/>
      <c r="AS265"/>
    </row>
    <row r="266" spans="44:45">
      <c r="AR266"/>
      <c r="AS266"/>
    </row>
    <row r="267" spans="44:45">
      <c r="AR267"/>
      <c r="AS267"/>
    </row>
    <row r="268" spans="44:45">
      <c r="AR268"/>
      <c r="AS268"/>
    </row>
    <row r="269" spans="44:45">
      <c r="AR269"/>
      <c r="AS269"/>
    </row>
    <row r="270" spans="44:45">
      <c r="AR270"/>
      <c r="AS270"/>
    </row>
    <row r="271" spans="44:45">
      <c r="AR271"/>
      <c r="AS271"/>
    </row>
    <row r="272" spans="44:45">
      <c r="AR272"/>
      <c r="AS272"/>
    </row>
    <row r="273" spans="44:45">
      <c r="AR273"/>
      <c r="AS273"/>
    </row>
    <row r="274" spans="44:45">
      <c r="AR274"/>
      <c r="AS274"/>
    </row>
    <row r="275" spans="44:45">
      <c r="AR275"/>
      <c r="AS275"/>
    </row>
    <row r="276" spans="44:45">
      <c r="AR276"/>
      <c r="AS276"/>
    </row>
    <row r="277" spans="44:45">
      <c r="AR277"/>
      <c r="AS277"/>
    </row>
    <row r="278" spans="44:45">
      <c r="AR278"/>
      <c r="AS278"/>
    </row>
    <row r="279" spans="44:45">
      <c r="AR279"/>
      <c r="AS279"/>
    </row>
    <row r="280" spans="44:45">
      <c r="AR280"/>
      <c r="AS280"/>
    </row>
    <row r="281" spans="44:45">
      <c r="AR281"/>
      <c r="AS281"/>
    </row>
    <row r="282" spans="44:45">
      <c r="AR282"/>
      <c r="AS282"/>
    </row>
    <row r="283" spans="44:45">
      <c r="AR283"/>
      <c r="AS283"/>
    </row>
    <row r="284" spans="44:45">
      <c r="AR284"/>
      <c r="AS284"/>
    </row>
    <row r="285" spans="44:45">
      <c r="AR285"/>
      <c r="AS285"/>
    </row>
    <row r="286" spans="44:45">
      <c r="AR286"/>
      <c r="AS286"/>
    </row>
    <row r="287" spans="44:45">
      <c r="AR287"/>
      <c r="AS287"/>
    </row>
    <row r="288" spans="44:45">
      <c r="AR288"/>
      <c r="AS288"/>
    </row>
    <row r="289" spans="44:45">
      <c r="AR289"/>
      <c r="AS289"/>
    </row>
    <row r="290" spans="44:45">
      <c r="AR290"/>
      <c r="AS290"/>
    </row>
    <row r="291" spans="44:45">
      <c r="AR291"/>
      <c r="AS291"/>
    </row>
    <row r="292" spans="44:45">
      <c r="AR292"/>
      <c r="AS292"/>
    </row>
    <row r="293" spans="44:45">
      <c r="AR293"/>
      <c r="AS293"/>
    </row>
    <row r="294" spans="44:45">
      <c r="AR294"/>
      <c r="AS294"/>
    </row>
    <row r="295" spans="44:45">
      <c r="AR295"/>
      <c r="AS295"/>
    </row>
    <row r="296" spans="44:45">
      <c r="AR296"/>
      <c r="AS296"/>
    </row>
    <row r="297" spans="44:45">
      <c r="AR297"/>
      <c r="AS297"/>
    </row>
    <row r="298" spans="44:45">
      <c r="AR298"/>
      <c r="AS298"/>
    </row>
    <row r="299" spans="44:45">
      <c r="AR299"/>
      <c r="AS299"/>
    </row>
    <row r="300" spans="44:45">
      <c r="AR300"/>
      <c r="AS300"/>
    </row>
    <row r="301" spans="44:45">
      <c r="AR301"/>
      <c r="AS301"/>
    </row>
    <row r="302" spans="44:45">
      <c r="AR302"/>
      <c r="AS302"/>
    </row>
    <row r="303" spans="44:45">
      <c r="AR303"/>
      <c r="AS303"/>
    </row>
    <row r="304" spans="44:45">
      <c r="AR304"/>
      <c r="AS304"/>
    </row>
    <row r="305" spans="44:45">
      <c r="AR305"/>
      <c r="AS305"/>
    </row>
    <row r="306" spans="44:45">
      <c r="AR306"/>
      <c r="AS306"/>
    </row>
    <row r="307" spans="44:45">
      <c r="AR307"/>
      <c r="AS307"/>
    </row>
    <row r="308" spans="44:45">
      <c r="AR308"/>
      <c r="AS308"/>
    </row>
    <row r="309" spans="44:45">
      <c r="AR309"/>
      <c r="AS309"/>
    </row>
    <row r="310" spans="44:45">
      <c r="AR310"/>
      <c r="AS310"/>
    </row>
  </sheetData>
  <mergeCells count="14">
    <mergeCell ref="A32:N32"/>
    <mergeCell ref="A2:N2"/>
    <mergeCell ref="D6:F6"/>
    <mergeCell ref="D8:F8"/>
    <mergeCell ref="D10:F10"/>
    <mergeCell ref="D12:F12"/>
    <mergeCell ref="J12:M12"/>
    <mergeCell ref="J10:M10"/>
    <mergeCell ref="J8:M8"/>
    <mergeCell ref="J6:M6"/>
    <mergeCell ref="D17:G17"/>
    <mergeCell ref="D16:G16"/>
    <mergeCell ref="A21:N21"/>
    <mergeCell ref="D14:F14"/>
  </mergeCells>
  <phoneticPr fontId="27" type="noConversion"/>
  <dataValidations count="4">
    <dataValidation type="list" allowBlank="1" showInputMessage="1" showErrorMessage="1" sqref="H16" xr:uid="{00000000-0002-0000-0100-000001000000}">
      <formula1>$AO$14:$AO$17</formula1>
    </dataValidation>
    <dataValidation type="list" allowBlank="1" showInputMessage="1" showErrorMessage="1" sqref="J12:M12" xr:uid="{00000000-0002-0000-0100-000002000000}">
      <formula1>$AR$2:$AR$18</formula1>
    </dataValidation>
    <dataValidation type="list" allowBlank="1" showInputMessage="1" showErrorMessage="1" sqref="D14:F14" xr:uid="{6A0022E4-9DDA-1C4D-A723-EC0F11A4B16E}">
      <formula1>$AQ$3:$AQ$8</formula1>
    </dataValidation>
    <dataValidation type="list" allowBlank="1" showInputMessage="1" showErrorMessage="1" sqref="D10:F10" xr:uid="{00000000-0002-0000-0100-000000000000}">
      <formula1>$AN$3:$AN$24</formula1>
    </dataValidation>
  </dataValidations>
  <printOptions horizontalCentered="1"/>
  <pageMargins left="0.2" right="0.2" top="2.33" bottom="1" header="0.5" footer="0.5"/>
  <pageSetup paperSize="9" scale="79" orientation="portrait" horizontalDpi="300" verticalDpi="300"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indexed="30"/>
    <pageSetUpPr fitToPage="1"/>
  </sheetPr>
  <dimension ref="A1:BB48"/>
  <sheetViews>
    <sheetView showGridLines="0" topLeftCell="A7" zoomScale="83" zoomScaleNormal="97" zoomScaleSheetLayoutView="75" workbookViewId="0">
      <selection activeCell="P12" sqref="P12"/>
    </sheetView>
  </sheetViews>
  <sheetFormatPr baseColWidth="10" defaultColWidth="9.1640625" defaultRowHeight="15"/>
  <cols>
    <col min="1" max="1" width="3.1640625" style="40" customWidth="1"/>
    <col min="2" max="2" width="22" style="40" hidden="1" customWidth="1"/>
    <col min="3" max="3" width="17.6640625" style="40" customWidth="1"/>
    <col min="4" max="7" width="6.5" style="40" customWidth="1"/>
    <col min="8" max="8" width="19.83203125" style="40" customWidth="1"/>
    <col min="9" max="9" width="6.5" style="40" customWidth="1"/>
    <col min="10" max="10" width="15.6640625" style="40" customWidth="1"/>
    <col min="11" max="11" width="27.1640625" style="40" bestFit="1" customWidth="1"/>
    <col min="12" max="12" width="9.5" style="40" bestFit="1" customWidth="1"/>
    <col min="13" max="38" width="11.5" style="40" customWidth="1"/>
    <col min="39" max="41" width="9.1640625" style="40" customWidth="1"/>
    <col min="42" max="42" width="37.1640625" style="40" hidden="1" customWidth="1"/>
    <col min="43" max="43" width="40.5" style="40" hidden="1" customWidth="1"/>
    <col min="44" max="44" width="27.1640625" style="40" hidden="1" customWidth="1"/>
    <col min="45" max="45" width="40.5" style="40" hidden="1" customWidth="1"/>
    <col min="46" max="46" width="37" style="40" hidden="1" customWidth="1"/>
    <col min="47" max="47" width="26.5" style="40" hidden="1" customWidth="1"/>
    <col min="48" max="48" width="17" style="40" hidden="1" customWidth="1"/>
    <col min="49" max="49" width="69.83203125" style="40" hidden="1" customWidth="1"/>
    <col min="50" max="50" width="75.83203125" style="40" hidden="1" customWidth="1"/>
    <col min="51" max="51" width="9.1640625" style="40" hidden="1" customWidth="1"/>
    <col min="52" max="52" width="17.5" style="40" hidden="1" customWidth="1"/>
    <col min="53" max="53" width="87.6640625" style="40" customWidth="1"/>
    <col min="54" max="54" width="187.6640625" style="40" customWidth="1"/>
    <col min="55" max="16384" width="9.1640625" style="40"/>
  </cols>
  <sheetData>
    <row r="1" spans="1:50" s="47" customFormat="1" ht="21" customHeight="1" thickBot="1">
      <c r="A1" s="345" t="s">
        <v>68</v>
      </c>
      <c r="B1" s="346"/>
      <c r="C1" s="346"/>
      <c r="D1" s="346"/>
      <c r="E1" s="346"/>
      <c r="F1" s="346"/>
      <c r="G1" s="346"/>
      <c r="H1" s="346"/>
      <c r="I1" s="346"/>
      <c r="J1" s="346"/>
      <c r="K1" s="346"/>
      <c r="L1" s="346"/>
      <c r="M1" s="347"/>
      <c r="N1" s="173"/>
      <c r="O1" s="173"/>
      <c r="P1" s="173"/>
      <c r="Q1" s="173"/>
      <c r="R1" s="173"/>
      <c r="S1" s="173"/>
      <c r="T1" s="173"/>
      <c r="U1" s="173"/>
      <c r="V1" s="173"/>
      <c r="W1" s="173"/>
      <c r="X1" s="173"/>
      <c r="Y1" s="173"/>
      <c r="Z1" s="173"/>
      <c r="AA1" s="173"/>
      <c r="AB1" s="173"/>
      <c r="AC1" s="173"/>
      <c r="AD1" s="173"/>
      <c r="AE1" s="585"/>
      <c r="AF1" s="585"/>
      <c r="AG1" s="585"/>
      <c r="AH1" s="585"/>
      <c r="AI1" s="585"/>
      <c r="AJ1" s="585"/>
      <c r="AK1" s="585"/>
      <c r="AL1" s="585"/>
      <c r="AM1" s="586"/>
    </row>
    <row r="2" spans="1:50" ht="16.5" customHeight="1">
      <c r="A2" s="13"/>
      <c r="B2" s="185"/>
      <c r="C2" s="185"/>
      <c r="D2" s="185"/>
      <c r="E2" s="185"/>
      <c r="F2" s="185"/>
      <c r="G2" s="185"/>
      <c r="H2" s="185"/>
      <c r="I2" s="185"/>
      <c r="J2" s="185"/>
      <c r="K2" s="185"/>
      <c r="L2" s="185"/>
      <c r="M2" s="14"/>
      <c r="AE2" s="587"/>
      <c r="AF2" s="587"/>
      <c r="AG2" s="587"/>
      <c r="AH2" s="587"/>
      <c r="AI2" s="587"/>
      <c r="AJ2" s="587"/>
      <c r="AK2" s="587"/>
      <c r="AL2" s="587"/>
      <c r="AM2" s="587"/>
      <c r="AP2" s="44"/>
      <c r="AQ2" s="81" t="s">
        <v>165</v>
      </c>
      <c r="AR2" s="593" t="s">
        <v>166</v>
      </c>
      <c r="AS2" s="81" t="s">
        <v>165</v>
      </c>
      <c r="AT2" s="593" t="s">
        <v>166</v>
      </c>
      <c r="AV2" s="605" t="s">
        <v>71</v>
      </c>
      <c r="AW2" s="605" t="s">
        <v>359</v>
      </c>
      <c r="AX2" s="605" t="s">
        <v>328</v>
      </c>
    </row>
    <row r="3" spans="1:50" ht="41.25" customHeight="1">
      <c r="A3" s="353" t="s">
        <v>56</v>
      </c>
      <c r="B3" s="354"/>
      <c r="C3" s="354"/>
      <c r="D3" s="354"/>
      <c r="E3" s="354"/>
      <c r="F3" s="354"/>
      <c r="G3" s="354"/>
      <c r="H3" s="354"/>
      <c r="I3" s="354"/>
      <c r="J3" s="354"/>
      <c r="K3" s="354"/>
      <c r="L3" s="354"/>
      <c r="M3" s="355"/>
      <c r="N3" s="84"/>
      <c r="O3" s="84"/>
      <c r="P3" s="84"/>
      <c r="Q3" s="84"/>
      <c r="R3" s="84"/>
      <c r="S3" s="84"/>
      <c r="T3" s="84"/>
      <c r="U3" s="84"/>
      <c r="V3" s="84"/>
      <c r="W3" s="84"/>
      <c r="X3" s="84"/>
      <c r="Y3" s="84"/>
      <c r="Z3" s="84"/>
      <c r="AA3" s="84"/>
      <c r="AB3" s="84"/>
      <c r="AC3" s="84"/>
      <c r="AD3" s="84"/>
      <c r="AE3" s="588"/>
      <c r="AF3" s="588"/>
      <c r="AG3" s="588"/>
      <c r="AH3" s="588"/>
      <c r="AI3" s="588"/>
      <c r="AJ3" s="588"/>
      <c r="AK3" s="588"/>
      <c r="AL3" s="588"/>
      <c r="AM3" s="587"/>
      <c r="AP3" s="594" t="s">
        <v>41</v>
      </c>
      <c r="AQ3" s="101" t="s">
        <v>103</v>
      </c>
      <c r="AR3" s="109" t="s">
        <v>119</v>
      </c>
      <c r="AS3" s="102" t="s">
        <v>104</v>
      </c>
      <c r="AT3" s="109" t="s">
        <v>120</v>
      </c>
      <c r="AV3" s="258" t="s">
        <v>41</v>
      </c>
      <c r="AW3" s="258" t="s">
        <v>329</v>
      </c>
      <c r="AX3" s="258" t="s">
        <v>330</v>
      </c>
    </row>
    <row r="4" spans="1:50" ht="11.25" customHeight="1" thickBot="1">
      <c r="A4" s="42"/>
      <c r="D4" s="48"/>
      <c r="E4" s="48"/>
      <c r="F4" s="48"/>
      <c r="G4" s="48"/>
      <c r="H4" s="48"/>
      <c r="I4" s="48"/>
      <c r="J4" s="48"/>
      <c r="K4" s="48"/>
      <c r="L4" s="48"/>
      <c r="M4" s="49"/>
      <c r="N4" s="48"/>
      <c r="O4" s="48"/>
      <c r="P4" s="48"/>
      <c r="Q4" s="48"/>
      <c r="R4" s="48"/>
      <c r="S4" s="48"/>
      <c r="T4" s="48"/>
      <c r="U4" s="48"/>
      <c r="V4" s="48"/>
      <c r="W4" s="48"/>
      <c r="X4" s="48"/>
      <c r="Y4" s="48"/>
      <c r="Z4" s="48"/>
      <c r="AA4" s="48"/>
      <c r="AB4" s="48"/>
      <c r="AC4" s="48"/>
      <c r="AD4" s="48"/>
      <c r="AE4" s="589"/>
      <c r="AF4" s="589"/>
      <c r="AG4" s="589"/>
      <c r="AH4" s="589"/>
      <c r="AI4" s="589"/>
      <c r="AJ4" s="589"/>
      <c r="AK4" s="589"/>
      <c r="AL4" s="589"/>
      <c r="AM4" s="587"/>
      <c r="AP4" s="594" t="s">
        <v>41</v>
      </c>
      <c r="AQ4" s="101" t="s">
        <v>45</v>
      </c>
      <c r="AR4" s="109" t="s">
        <v>147</v>
      </c>
      <c r="AS4" s="102" t="s">
        <v>113</v>
      </c>
      <c r="AT4" s="109" t="s">
        <v>148</v>
      </c>
      <c r="AV4" s="258" t="s">
        <v>100</v>
      </c>
      <c r="AW4" s="258" t="s">
        <v>331</v>
      </c>
      <c r="AX4" s="258" t="s">
        <v>332</v>
      </c>
    </row>
    <row r="5" spans="1:50" s="50" customFormat="1" ht="42" customHeight="1" thickBot="1">
      <c r="A5" s="182" t="s">
        <v>48</v>
      </c>
      <c r="B5" s="183"/>
      <c r="C5" s="351" t="s">
        <v>4</v>
      </c>
      <c r="D5" s="351"/>
      <c r="E5" s="351"/>
      <c r="F5" s="351"/>
      <c r="G5" s="351"/>
      <c r="H5" s="351"/>
      <c r="I5" s="351"/>
      <c r="J5" s="352" t="s">
        <v>5</v>
      </c>
      <c r="K5" s="352"/>
      <c r="L5" s="167" t="s">
        <v>6</v>
      </c>
      <c r="M5" s="184" t="s">
        <v>40</v>
      </c>
      <c r="N5" s="37"/>
      <c r="O5" s="37"/>
      <c r="P5" s="37"/>
      <c r="Q5" s="37"/>
      <c r="R5" s="37"/>
      <c r="S5" s="37"/>
      <c r="T5" s="37"/>
      <c r="U5" s="37"/>
      <c r="V5" s="37"/>
      <c r="W5" s="37"/>
      <c r="X5" s="37"/>
      <c r="Y5" s="37"/>
      <c r="Z5" s="37"/>
      <c r="AA5" s="37"/>
      <c r="AB5" s="37"/>
      <c r="AC5" s="37"/>
      <c r="AD5" s="37"/>
      <c r="AE5" s="590"/>
      <c r="AF5" s="590"/>
      <c r="AG5" s="590"/>
      <c r="AH5" s="590"/>
      <c r="AI5" s="590"/>
      <c r="AJ5" s="590"/>
      <c r="AK5" s="590"/>
      <c r="AL5" s="590"/>
      <c r="AM5" s="591"/>
      <c r="AP5" s="594" t="s">
        <v>41</v>
      </c>
      <c r="AQ5" s="101" t="s">
        <v>99</v>
      </c>
      <c r="AR5" s="109" t="s">
        <v>74</v>
      </c>
      <c r="AS5" s="104" t="s">
        <v>51</v>
      </c>
      <c r="AT5" s="109" t="s">
        <v>319</v>
      </c>
      <c r="AU5" s="40"/>
      <c r="AV5" s="258" t="s">
        <v>101</v>
      </c>
      <c r="AW5" s="258" t="s">
        <v>333</v>
      </c>
      <c r="AX5" s="258" t="s">
        <v>334</v>
      </c>
    </row>
    <row r="6" spans="1:50" ht="49" customHeight="1">
      <c r="A6" s="51">
        <v>1</v>
      </c>
      <c r="B6" s="62"/>
      <c r="C6" s="607"/>
      <c r="D6" s="608"/>
      <c r="E6" s="608"/>
      <c r="F6" s="608"/>
      <c r="G6" s="608"/>
      <c r="H6" s="608"/>
      <c r="I6" s="609"/>
      <c r="J6" s="356"/>
      <c r="K6" s="357"/>
      <c r="L6" s="52"/>
      <c r="M6" s="221"/>
      <c r="N6" s="83"/>
      <c r="O6" s="83"/>
      <c r="P6" s="83"/>
      <c r="Q6" s="83"/>
      <c r="R6" s="83"/>
      <c r="S6" s="83"/>
      <c r="T6" s="83"/>
      <c r="U6" s="83"/>
      <c r="V6" s="83"/>
      <c r="W6" s="83"/>
      <c r="X6" s="83"/>
      <c r="Y6" s="83"/>
      <c r="Z6" s="83"/>
      <c r="AA6" s="83"/>
      <c r="AB6" s="83"/>
      <c r="AC6" s="83"/>
      <c r="AD6" s="83"/>
      <c r="AE6" s="592"/>
      <c r="AF6" s="592"/>
      <c r="AG6" s="592"/>
      <c r="AH6" s="592"/>
      <c r="AI6" s="592"/>
      <c r="AJ6" s="592"/>
      <c r="AK6" s="592"/>
      <c r="AL6" s="592"/>
      <c r="AM6" s="587"/>
      <c r="AP6" s="594" t="s">
        <v>41</v>
      </c>
      <c r="AQ6" s="101" t="s">
        <v>15</v>
      </c>
      <c r="AR6" s="44"/>
      <c r="AS6" s="102" t="s">
        <v>145</v>
      </c>
      <c r="AT6" s="44"/>
      <c r="AV6" s="258" t="s">
        <v>174</v>
      </c>
      <c r="AW6" s="258" t="s">
        <v>333</v>
      </c>
      <c r="AX6" s="258" t="s">
        <v>334</v>
      </c>
    </row>
    <row r="7" spans="1:50" ht="38.25" customHeight="1" thickBot="1">
      <c r="A7" s="53">
        <v>2</v>
      </c>
      <c r="B7" s="63"/>
      <c r="C7" s="316"/>
      <c r="D7" s="317"/>
      <c r="E7" s="317"/>
      <c r="F7" s="317"/>
      <c r="G7" s="317"/>
      <c r="H7" s="317"/>
      <c r="I7" s="317"/>
      <c r="J7" s="316"/>
      <c r="K7" s="317"/>
      <c r="L7" s="29"/>
      <c r="M7" s="222"/>
      <c r="N7" s="83"/>
      <c r="O7" s="83"/>
      <c r="P7" s="83"/>
      <c r="Q7" s="83"/>
      <c r="R7" s="83"/>
      <c r="S7" s="83"/>
      <c r="T7" s="83"/>
      <c r="U7" s="83"/>
      <c r="V7" s="83"/>
      <c r="W7" s="83"/>
      <c r="X7" s="83"/>
      <c r="Y7" s="83"/>
      <c r="Z7" s="83"/>
      <c r="AA7" s="83"/>
      <c r="AB7" s="83"/>
      <c r="AC7" s="83"/>
      <c r="AD7" s="83"/>
      <c r="AE7" s="592"/>
      <c r="AF7" s="592"/>
      <c r="AG7" s="592"/>
      <c r="AH7" s="592"/>
      <c r="AI7" s="592"/>
      <c r="AJ7" s="592"/>
      <c r="AK7" s="592"/>
      <c r="AL7" s="592"/>
      <c r="AM7" s="587"/>
      <c r="AP7" s="594" t="s">
        <v>41</v>
      </c>
      <c r="AQ7" s="101" t="s">
        <v>46</v>
      </c>
      <c r="AR7" s="44"/>
      <c r="AS7" s="102" t="s">
        <v>67</v>
      </c>
      <c r="AT7" s="44"/>
      <c r="AU7" s="50"/>
      <c r="AV7" s="604"/>
      <c r="AW7" s="604"/>
      <c r="AX7" s="604"/>
    </row>
    <row r="8" spans="1:50" ht="73" customHeight="1" thickBot="1">
      <c r="A8" s="51">
        <v>3</v>
      </c>
      <c r="B8" s="63"/>
      <c r="C8" s="316"/>
      <c r="D8" s="317"/>
      <c r="E8" s="317"/>
      <c r="F8" s="317"/>
      <c r="G8" s="317"/>
      <c r="H8" s="317"/>
      <c r="I8" s="317"/>
      <c r="J8" s="316"/>
      <c r="K8" s="317"/>
      <c r="L8" s="29"/>
      <c r="M8" s="222"/>
      <c r="N8" s="83"/>
      <c r="O8" s="83"/>
      <c r="P8" s="83"/>
      <c r="Q8" s="83"/>
      <c r="R8" s="83"/>
      <c r="S8" s="83"/>
      <c r="T8" s="83"/>
      <c r="U8" s="83"/>
      <c r="V8" s="83"/>
      <c r="W8" s="83"/>
      <c r="X8" s="83"/>
      <c r="Y8" s="83"/>
      <c r="Z8" s="83"/>
      <c r="AA8" s="83"/>
      <c r="AB8" s="83"/>
      <c r="AC8" s="83"/>
      <c r="AD8" s="83"/>
      <c r="AE8" s="592"/>
      <c r="AF8" s="592"/>
      <c r="AG8" s="592"/>
      <c r="AH8" s="592"/>
      <c r="AI8" s="592"/>
      <c r="AJ8" s="592"/>
      <c r="AK8" s="592"/>
      <c r="AL8" s="592"/>
      <c r="AM8" s="587"/>
      <c r="AP8" s="594" t="s">
        <v>100</v>
      </c>
      <c r="AQ8" s="101" t="s">
        <v>103</v>
      </c>
      <c r="AR8" s="110" t="s">
        <v>106</v>
      </c>
      <c r="AS8" s="102" t="s">
        <v>104</v>
      </c>
      <c r="AT8" s="110" t="s">
        <v>107</v>
      </c>
      <c r="AU8" s="50"/>
      <c r="AV8" s="605" t="s">
        <v>71</v>
      </c>
      <c r="AW8" s="605" t="s">
        <v>358</v>
      </c>
      <c r="AX8" s="605" t="s">
        <v>335</v>
      </c>
    </row>
    <row r="9" spans="1:50" ht="45" customHeight="1">
      <c r="A9" s="51">
        <v>4</v>
      </c>
      <c r="B9" s="63"/>
      <c r="C9" s="316"/>
      <c r="D9" s="317"/>
      <c r="E9" s="317"/>
      <c r="F9" s="317"/>
      <c r="G9" s="317"/>
      <c r="H9" s="317"/>
      <c r="I9" s="317"/>
      <c r="J9" s="316"/>
      <c r="K9" s="317"/>
      <c r="L9" s="29"/>
      <c r="M9" s="222"/>
      <c r="N9" s="83"/>
      <c r="O9" s="83"/>
      <c r="P9" s="83"/>
      <c r="Q9" s="83"/>
      <c r="R9" s="83"/>
      <c r="S9" s="83"/>
      <c r="T9" s="83"/>
      <c r="U9" s="83"/>
      <c r="V9" s="83"/>
      <c r="W9" s="83"/>
      <c r="X9" s="83"/>
      <c r="Y9" s="83"/>
      <c r="Z9" s="83"/>
      <c r="AA9" s="83"/>
      <c r="AB9" s="83"/>
      <c r="AC9" s="83"/>
      <c r="AD9" s="83"/>
      <c r="AE9" s="592"/>
      <c r="AF9" s="592"/>
      <c r="AG9" s="592"/>
      <c r="AH9" s="592"/>
      <c r="AI9" s="592"/>
      <c r="AJ9" s="592"/>
      <c r="AK9" s="592"/>
      <c r="AL9" s="592"/>
      <c r="AM9" s="587"/>
      <c r="AP9" s="594" t="s">
        <v>100</v>
      </c>
      <c r="AQ9" s="101" t="s">
        <v>45</v>
      </c>
      <c r="AR9" s="110" t="s">
        <v>320</v>
      </c>
      <c r="AS9" s="102" t="s">
        <v>113</v>
      </c>
      <c r="AT9" s="110" t="s">
        <v>126</v>
      </c>
      <c r="AV9" s="258" t="s">
        <v>41</v>
      </c>
      <c r="AW9" s="258" t="s">
        <v>336</v>
      </c>
      <c r="AX9" s="258" t="s">
        <v>337</v>
      </c>
    </row>
    <row r="10" spans="1:50" ht="45" customHeight="1">
      <c r="A10" s="53">
        <v>5</v>
      </c>
      <c r="B10" s="63"/>
      <c r="C10" s="316"/>
      <c r="D10" s="336"/>
      <c r="E10" s="336"/>
      <c r="F10" s="336"/>
      <c r="G10" s="336"/>
      <c r="H10" s="336"/>
      <c r="I10" s="336"/>
      <c r="J10" s="316"/>
      <c r="K10" s="317"/>
      <c r="L10" s="29"/>
      <c r="M10" s="222"/>
      <c r="N10" s="83"/>
      <c r="O10" s="83"/>
      <c r="P10" s="83"/>
      <c r="Q10" s="83"/>
      <c r="R10" s="83"/>
      <c r="S10" s="83"/>
      <c r="T10" s="83"/>
      <c r="U10" s="83"/>
      <c r="V10" s="83"/>
      <c r="W10" s="83"/>
      <c r="X10" s="83"/>
      <c r="Y10" s="83"/>
      <c r="Z10" s="83"/>
      <c r="AA10" s="83"/>
      <c r="AB10" s="83"/>
      <c r="AC10" s="83"/>
      <c r="AD10" s="83"/>
      <c r="AE10" s="592"/>
      <c r="AF10" s="592"/>
      <c r="AG10" s="592"/>
      <c r="AH10" s="592"/>
      <c r="AI10" s="592"/>
      <c r="AJ10" s="592"/>
      <c r="AK10" s="592"/>
      <c r="AL10" s="592"/>
      <c r="AM10" s="587"/>
      <c r="AP10" s="594" t="s">
        <v>100</v>
      </c>
      <c r="AQ10" s="101" t="s">
        <v>99</v>
      </c>
      <c r="AR10" s="110" t="s">
        <v>54</v>
      </c>
      <c r="AS10" s="104" t="s">
        <v>51</v>
      </c>
      <c r="AT10" s="110" t="s">
        <v>132</v>
      </c>
      <c r="AV10" s="258" t="s">
        <v>100</v>
      </c>
      <c r="AW10" s="258" t="s">
        <v>338</v>
      </c>
      <c r="AX10" s="258" t="s">
        <v>339</v>
      </c>
    </row>
    <row r="11" spans="1:50" ht="45" customHeight="1" thickBot="1">
      <c r="A11" s="53">
        <v>6</v>
      </c>
      <c r="B11" s="63"/>
      <c r="C11" s="337" t="e" cm="1">
        <f t="array" ref="C11">_xlfn.IFS(B20="Top Management","Ensure leadership commitment to HSE compliance, governance, and visible safety leadership.",B20="Middle Management","Ensure effective implementation, monitoring, and enforcement of HSE systems and policies within teams.",B20="Staff","Comply with HSE requirements and actively contribute to a safe and compliant working environment.",B20="Blue Collar - Technicians","Adhere to HSE procedures and actively participate in maintaining a safe work environment.")</f>
        <v>#N/A</v>
      </c>
      <c r="D11" s="337"/>
      <c r="E11" s="337"/>
      <c r="F11" s="337"/>
      <c r="G11" s="337"/>
      <c r="H11" s="337"/>
      <c r="I11" s="337"/>
      <c r="J11" s="337" t="e" cm="1">
        <f t="array" ref="J11">_xlfn.IFS(B20="Top Management","100% HSES trainings; 100% HSES meetings; 4 observations; 2 management tours; Zero warnings",B20="Middle Management","100% HSES trainings; 100% HSES meetings; 4 observations; 2 management tours; 100% critical &amp; 80% other audit actions; Zero warnings",B20="Staff","100% HSES trainings; 100% HSES meetings; 12 observations; close 100% critical &amp; 80% other audit actions; Zero warnings",B20="Blue Collar - Technicians","100% HSES trainings; 100% HSES meetings; 12 observations; Zero warnings")</f>
        <v>#N/A</v>
      </c>
      <c r="K11" s="337"/>
      <c r="L11" s="277">
        <v>0.1</v>
      </c>
      <c r="M11" s="222"/>
      <c r="N11" s="83"/>
      <c r="O11" s="83"/>
      <c r="P11" s="83"/>
      <c r="Q11" s="83"/>
      <c r="R11" s="83"/>
      <c r="S11" s="83"/>
      <c r="T11" s="83"/>
      <c r="U11" s="83"/>
      <c r="V11" s="83"/>
      <c r="W11" s="83"/>
      <c r="X11" s="83"/>
      <c r="Y11" s="83"/>
      <c r="Z11" s="83"/>
      <c r="AA11" s="83"/>
      <c r="AB11" s="83"/>
      <c r="AC11" s="83"/>
      <c r="AD11" s="83"/>
      <c r="AE11" s="592"/>
      <c r="AF11" s="592"/>
      <c r="AG11" s="592"/>
      <c r="AH11" s="592"/>
      <c r="AI11" s="592"/>
      <c r="AJ11" s="592"/>
      <c r="AK11" s="592"/>
      <c r="AL11" s="592"/>
      <c r="AM11" s="587"/>
      <c r="AP11" s="594" t="s">
        <v>100</v>
      </c>
      <c r="AQ11" s="101" t="s">
        <v>15</v>
      </c>
      <c r="AR11" s="44"/>
      <c r="AS11" s="102" t="s">
        <v>145</v>
      </c>
      <c r="AT11" s="44"/>
      <c r="AV11" s="258" t="s">
        <v>101</v>
      </c>
      <c r="AW11" s="258" t="s">
        <v>340</v>
      </c>
      <c r="AX11" s="258" t="s">
        <v>341</v>
      </c>
    </row>
    <row r="12" spans="1:50" ht="38.25" customHeight="1" thickBot="1">
      <c r="A12" s="51">
        <v>7</v>
      </c>
      <c r="B12" s="63"/>
      <c r="C12" s="337" t="e" cm="1">
        <f t="array" ref="C12">_xlfn.IFS(B20="Top Management","Finalize all departments’ functional policies and close compliance audit actions",B20="Middle Management","Training, awareness, and implementation of launched compliance systems and policies",OR(B20="Staff",B20="Blue Collar - Technicians"),"Attend all trainings and events reporting")</f>
        <v>#N/A</v>
      </c>
      <c r="D12" s="337"/>
      <c r="E12" s="337"/>
      <c r="F12" s="337"/>
      <c r="G12" s="337"/>
      <c r="H12" s="337"/>
      <c r="I12" s="337"/>
      <c r="J12" s="337" t="e" cm="1">
        <f t="array" ref="J12">_xlfn.IFS(B20="Top Management","Respond and finalize policies within 2 weeks of receipt; Close 95% of compliance audit actions",
B20="Middle Management","Pass training tests with score ≥ 85%; Zero policy breaches",OR(B20="Staff",B20="Blue Collar - Technicians"),"Pass training tests with score ≥ 75%; Report 3 events/violations per month")</f>
        <v>#N/A</v>
      </c>
      <c r="K12" s="337"/>
      <c r="L12" s="277">
        <f>IF(B20="Top Management",10%,5%)</f>
        <v>0.05</v>
      </c>
      <c r="M12" s="222"/>
      <c r="N12" s="83"/>
      <c r="O12" s="83"/>
      <c r="P12" s="83"/>
      <c r="Q12" s="83"/>
      <c r="R12" s="83"/>
      <c r="S12" s="83"/>
      <c r="T12" s="83"/>
      <c r="U12" s="83"/>
      <c r="V12" s="83"/>
      <c r="W12" s="83"/>
      <c r="X12" s="83"/>
      <c r="Y12" s="83"/>
      <c r="Z12" s="83"/>
      <c r="AA12" s="83"/>
      <c r="AB12" s="83"/>
      <c r="AC12" s="83"/>
      <c r="AD12" s="83"/>
      <c r="AE12" s="592"/>
      <c r="AF12" s="592"/>
      <c r="AG12" s="592"/>
      <c r="AH12" s="592"/>
      <c r="AI12" s="592"/>
      <c r="AJ12" s="592"/>
      <c r="AK12" s="592"/>
      <c r="AL12" s="592"/>
      <c r="AM12" s="587"/>
      <c r="AP12" s="594" t="s">
        <v>100</v>
      </c>
      <c r="AQ12" s="101" t="s">
        <v>46</v>
      </c>
      <c r="AR12" s="44"/>
      <c r="AS12" s="102" t="s">
        <v>67</v>
      </c>
      <c r="AT12" s="44"/>
      <c r="AV12" s="258" t="s">
        <v>326</v>
      </c>
      <c r="AW12" s="258" t="s">
        <v>342</v>
      </c>
      <c r="AX12" s="258" t="s">
        <v>343</v>
      </c>
    </row>
    <row r="13" spans="1:50" ht="38.25" customHeight="1" thickBot="1">
      <c r="A13" s="348" t="s">
        <v>7</v>
      </c>
      <c r="B13" s="349"/>
      <c r="C13" s="349"/>
      <c r="D13" s="349"/>
      <c r="E13" s="349"/>
      <c r="F13" s="349"/>
      <c r="G13" s="349"/>
      <c r="H13" s="349"/>
      <c r="I13" s="349"/>
      <c r="J13" s="349"/>
      <c r="K13" s="350"/>
      <c r="L13" s="181">
        <f>SUM(L6:L12)</f>
        <v>0.15000000000000002</v>
      </c>
      <c r="M13" s="54" t="str">
        <f>IF(OR(L13=0,L13=100%),"","Error")</f>
        <v>Error</v>
      </c>
      <c r="N13" s="83"/>
      <c r="O13" s="83"/>
      <c r="P13" s="83"/>
      <c r="Q13" s="83"/>
      <c r="R13" s="83"/>
      <c r="S13" s="83"/>
      <c r="T13" s="83"/>
      <c r="U13" s="83"/>
      <c r="V13" s="83"/>
      <c r="W13" s="83"/>
      <c r="X13" s="83"/>
      <c r="Y13" s="83"/>
      <c r="Z13" s="83"/>
      <c r="AA13" s="83"/>
      <c r="AB13" s="83"/>
      <c r="AC13" s="83"/>
      <c r="AD13" s="83"/>
      <c r="AE13" s="592"/>
      <c r="AF13" s="592"/>
      <c r="AG13" s="592"/>
      <c r="AH13" s="592"/>
      <c r="AI13" s="592"/>
      <c r="AJ13" s="592"/>
      <c r="AK13" s="592"/>
      <c r="AL13" s="592"/>
      <c r="AM13" s="587"/>
      <c r="AP13" s="594" t="s">
        <v>101</v>
      </c>
      <c r="AQ13" s="101" t="s">
        <v>103</v>
      </c>
      <c r="AR13" s="111" t="s">
        <v>42</v>
      </c>
      <c r="AS13" s="102" t="s">
        <v>104</v>
      </c>
      <c r="AT13" s="113" t="s">
        <v>122</v>
      </c>
      <c r="AX13" s="60"/>
    </row>
    <row r="14" spans="1:50" ht="38.25" customHeight="1" thickBot="1">
      <c r="A14" s="42"/>
      <c r="D14" s="36"/>
      <c r="M14" s="43"/>
      <c r="N14" s="83"/>
      <c r="O14" s="83"/>
      <c r="P14" s="83"/>
      <c r="Q14" s="83"/>
      <c r="R14" s="83"/>
      <c r="S14" s="83"/>
      <c r="T14" s="83"/>
      <c r="U14" s="83"/>
      <c r="V14" s="83"/>
      <c r="W14" s="83"/>
      <c r="X14" s="83"/>
      <c r="Y14" s="83"/>
      <c r="Z14" s="83"/>
      <c r="AA14" s="83"/>
      <c r="AB14" s="83"/>
      <c r="AC14" s="83"/>
      <c r="AD14" s="83"/>
      <c r="AE14" s="592"/>
      <c r="AF14" s="592"/>
      <c r="AG14" s="592"/>
      <c r="AH14" s="592"/>
      <c r="AI14" s="592"/>
      <c r="AJ14" s="592"/>
      <c r="AK14" s="592"/>
      <c r="AL14" s="592"/>
      <c r="AM14" s="587"/>
      <c r="AP14" s="594" t="s">
        <v>101</v>
      </c>
      <c r="AQ14" s="101" t="s">
        <v>45</v>
      </c>
      <c r="AR14" s="111" t="s">
        <v>43</v>
      </c>
      <c r="AS14" s="102" t="s">
        <v>113</v>
      </c>
      <c r="AT14" s="113" t="s">
        <v>57</v>
      </c>
      <c r="AX14" s="60"/>
    </row>
    <row r="15" spans="1:50" ht="38.25" customHeight="1" thickBot="1">
      <c r="A15" s="330" t="s">
        <v>36</v>
      </c>
      <c r="B15" s="331"/>
      <c r="C15" s="331"/>
      <c r="D15" s="331"/>
      <c r="E15" s="332"/>
      <c r="F15" s="333"/>
      <c r="G15" s="334"/>
      <c r="H15" s="335"/>
      <c r="I15" s="327" t="s">
        <v>47</v>
      </c>
      <c r="J15" s="328"/>
      <c r="K15" s="329"/>
      <c r="L15" s="366"/>
      <c r="M15" s="367"/>
      <c r="N15" s="83"/>
      <c r="O15" s="83"/>
      <c r="P15" s="83"/>
      <c r="Q15" s="83"/>
      <c r="R15" s="83"/>
      <c r="S15" s="83"/>
      <c r="T15" s="83"/>
      <c r="U15" s="83"/>
      <c r="V15" s="83"/>
      <c r="W15" s="83"/>
      <c r="X15" s="83"/>
      <c r="Y15" s="83"/>
      <c r="Z15" s="83"/>
      <c r="AA15" s="83"/>
      <c r="AB15" s="83"/>
      <c r="AC15" s="83"/>
      <c r="AD15" s="83"/>
      <c r="AE15" s="592"/>
      <c r="AF15" s="592"/>
      <c r="AG15" s="592"/>
      <c r="AH15" s="592"/>
      <c r="AI15" s="592"/>
      <c r="AJ15" s="592"/>
      <c r="AK15" s="592"/>
      <c r="AL15" s="592"/>
      <c r="AM15" s="587"/>
      <c r="AP15" s="594" t="s">
        <v>101</v>
      </c>
      <c r="AQ15" s="101" t="s">
        <v>99</v>
      </c>
      <c r="AR15" s="142" t="s">
        <v>52</v>
      </c>
      <c r="AS15" s="104" t="s">
        <v>51</v>
      </c>
      <c r="AT15" s="595" t="s">
        <v>53</v>
      </c>
      <c r="AX15" s="60"/>
    </row>
    <row r="16" spans="1:50" ht="22.5" customHeight="1">
      <c r="A16" s="318" t="s">
        <v>75</v>
      </c>
      <c r="B16" s="319"/>
      <c r="C16" s="319"/>
      <c r="D16" s="323" t="s">
        <v>278</v>
      </c>
      <c r="E16" s="324"/>
      <c r="F16" s="325"/>
      <c r="G16" s="326" t="s">
        <v>279</v>
      </c>
      <c r="H16" s="326"/>
      <c r="I16" s="323" t="s">
        <v>280</v>
      </c>
      <c r="J16" s="325"/>
      <c r="K16" s="232" t="s">
        <v>281</v>
      </c>
      <c r="L16" s="338" t="s">
        <v>282</v>
      </c>
      <c r="M16" s="339"/>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P16" s="594" t="s">
        <v>101</v>
      </c>
      <c r="AQ16" s="101" t="s">
        <v>15</v>
      </c>
      <c r="AR16" s="81"/>
      <c r="AS16" s="102" t="s">
        <v>145</v>
      </c>
      <c r="AT16" s="44"/>
      <c r="AV16" s="16"/>
      <c r="AW16" s="16"/>
      <c r="AX16" s="16"/>
    </row>
    <row r="17" spans="1:50" ht="17">
      <c r="A17" s="318"/>
      <c r="B17" s="319"/>
      <c r="C17" s="319"/>
      <c r="D17" s="323">
        <v>1</v>
      </c>
      <c r="E17" s="324"/>
      <c r="F17" s="325"/>
      <c r="G17" s="326">
        <v>2</v>
      </c>
      <c r="H17" s="326"/>
      <c r="I17" s="326">
        <v>3</v>
      </c>
      <c r="J17" s="326"/>
      <c r="K17" s="180">
        <v>4</v>
      </c>
      <c r="L17" s="340">
        <v>5</v>
      </c>
      <c r="M17" s="341"/>
      <c r="AP17" s="594" t="s">
        <v>101</v>
      </c>
      <c r="AQ17" s="101" t="s">
        <v>46</v>
      </c>
      <c r="AR17" s="596"/>
      <c r="AS17" s="102" t="s">
        <v>67</v>
      </c>
      <c r="AT17" s="44"/>
      <c r="AX17" s="61"/>
    </row>
    <row r="18" spans="1:50" s="50" customFormat="1" ht="34.5" customHeight="1" thickBot="1">
      <c r="A18" s="32"/>
      <c r="B18" s="26"/>
      <c r="C18" s="26"/>
      <c r="D18" s="26"/>
      <c r="E18" s="26"/>
      <c r="F18" s="26"/>
      <c r="G18" s="26"/>
      <c r="H18" s="26"/>
      <c r="I18" s="26"/>
      <c r="J18" s="26"/>
      <c r="K18" s="26"/>
      <c r="L18" s="26"/>
      <c r="M18" s="33"/>
      <c r="AP18" s="597" t="s">
        <v>171</v>
      </c>
      <c r="AQ18" s="598" t="s">
        <v>103</v>
      </c>
      <c r="AR18" s="599" t="s">
        <v>43</v>
      </c>
      <c r="AS18" s="114" t="s">
        <v>104</v>
      </c>
      <c r="AT18" s="600" t="s">
        <v>57</v>
      </c>
      <c r="AX18" s="61"/>
    </row>
    <row r="19" spans="1:50" ht="18.75" customHeight="1">
      <c r="A19" s="228"/>
      <c r="B19" s="230"/>
      <c r="C19" s="320" t="s">
        <v>167</v>
      </c>
      <c r="D19" s="321"/>
      <c r="E19" s="321"/>
      <c r="F19" s="321"/>
      <c r="G19" s="321"/>
      <c r="H19" s="322"/>
      <c r="I19" s="342" t="s">
        <v>317</v>
      </c>
      <c r="J19" s="343"/>
      <c r="K19" s="344"/>
      <c r="L19" s="236" t="s">
        <v>35</v>
      </c>
      <c r="M19" s="231" t="s">
        <v>283</v>
      </c>
      <c r="N19" s="65"/>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P19" s="597" t="s">
        <v>171</v>
      </c>
      <c r="AQ19" s="598" t="s">
        <v>45</v>
      </c>
      <c r="AR19" s="599" t="s">
        <v>52</v>
      </c>
      <c r="AS19" s="114" t="s">
        <v>113</v>
      </c>
      <c r="AT19" s="600" t="s">
        <v>53</v>
      </c>
    </row>
    <row r="20" spans="1:50" ht="20.25" customHeight="1">
      <c r="A20" s="388">
        <v>1</v>
      </c>
      <c r="B20" s="259">
        <f>'Cover Page'!$H$16</f>
        <v>0</v>
      </c>
      <c r="C20" s="368" t="s">
        <v>240</v>
      </c>
      <c r="D20" s="393" t="s">
        <v>270</v>
      </c>
      <c r="E20" s="394"/>
      <c r="F20" s="394"/>
      <c r="G20" s="394"/>
      <c r="H20" s="395"/>
      <c r="I20" s="368" t="s">
        <v>272</v>
      </c>
      <c r="J20" s="369"/>
      <c r="K20" s="260" t="s">
        <v>275</v>
      </c>
      <c r="L20" s="234">
        <v>3</v>
      </c>
      <c r="M20" s="374">
        <f>AVERAGE(L20:L21)</f>
        <v>3</v>
      </c>
      <c r="N20" s="65"/>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P20" s="597" t="s">
        <v>171</v>
      </c>
      <c r="AQ20" s="598" t="s">
        <v>99</v>
      </c>
      <c r="AR20" s="599" t="s">
        <v>141</v>
      </c>
      <c r="AS20" s="115" t="s">
        <v>51</v>
      </c>
      <c r="AT20" s="600" t="s">
        <v>58</v>
      </c>
    </row>
    <row r="21" spans="1:50" s="26" customFormat="1" ht="25" customHeight="1">
      <c r="A21" s="388"/>
      <c r="B21" s="259">
        <f>'Cover Page'!$H$16</f>
        <v>0</v>
      </c>
      <c r="C21" s="368"/>
      <c r="D21" s="385" t="s">
        <v>271</v>
      </c>
      <c r="E21" s="385"/>
      <c r="F21" s="385"/>
      <c r="G21" s="385"/>
      <c r="H21" s="396"/>
      <c r="I21" s="368"/>
      <c r="J21" s="369"/>
      <c r="K21" s="260" t="s">
        <v>276</v>
      </c>
      <c r="L21" s="234">
        <v>3</v>
      </c>
      <c r="M21" s="374"/>
      <c r="AO21" s="40"/>
      <c r="AP21" s="597" t="s">
        <v>171</v>
      </c>
      <c r="AQ21" s="598" t="s">
        <v>15</v>
      </c>
      <c r="AR21" s="257"/>
      <c r="AS21" s="114" t="s">
        <v>145</v>
      </c>
      <c r="AT21" s="257"/>
      <c r="AX21" s="61"/>
    </row>
    <row r="22" spans="1:50" s="50" customFormat="1" ht="27.75" customHeight="1">
      <c r="A22" s="389">
        <v>2</v>
      </c>
      <c r="B22" s="261">
        <f>'Cover Page'!$H$16</f>
        <v>0</v>
      </c>
      <c r="C22" s="370" t="s">
        <v>241</v>
      </c>
      <c r="D22" s="383" t="s">
        <v>310</v>
      </c>
      <c r="E22" s="375"/>
      <c r="F22" s="375"/>
      <c r="G22" s="375"/>
      <c r="H22" s="384"/>
      <c r="I22" s="370" t="s">
        <v>273</v>
      </c>
      <c r="J22" s="371"/>
      <c r="K22" s="262" t="s">
        <v>312</v>
      </c>
      <c r="L22" s="263">
        <v>3</v>
      </c>
      <c r="M22" s="374">
        <f>AVERAGE(L22:L23)</f>
        <v>3</v>
      </c>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P22" s="597" t="s">
        <v>171</v>
      </c>
      <c r="AQ22" s="598" t="s">
        <v>46</v>
      </c>
      <c r="AR22" s="257"/>
      <c r="AS22" s="114" t="s">
        <v>67</v>
      </c>
      <c r="AT22" s="257"/>
      <c r="AU22" s="40"/>
      <c r="AV22" s="40"/>
      <c r="AW22" s="40"/>
      <c r="AX22" s="40"/>
    </row>
    <row r="23" spans="1:50" ht="28" customHeight="1">
      <c r="A23" s="389">
        <v>4</v>
      </c>
      <c r="B23" s="261">
        <f>'Cover Page'!$H$16</f>
        <v>0</v>
      </c>
      <c r="C23" s="370">
        <f>IF(B23="Top Management",VLOOKUP(B23,AP6:AQ10,2,0),IF(B23="Middle Management",VLOOKUP(B23,AP11:AQ15,2,0),IF(B23="Staff",VLOOKUP(B23,AP16:AQ20,2,0),IF(B23="Blue Collar - lead",VLOOKUP(B23,AP21:AQ25,2,0),IF(B23="Blue Collar - Technicians",VLOOKUP(B23,AP27:AQ31,2,0),0)))))</f>
        <v>0</v>
      </c>
      <c r="D23" s="383" t="s">
        <v>243</v>
      </c>
      <c r="E23" s="375"/>
      <c r="F23" s="375"/>
      <c r="G23" s="375"/>
      <c r="H23" s="384"/>
      <c r="I23" s="370"/>
      <c r="J23" s="371"/>
      <c r="K23" s="262" t="s">
        <v>352</v>
      </c>
      <c r="L23" s="263">
        <v>3</v>
      </c>
      <c r="M23" s="374"/>
      <c r="P23" s="86"/>
      <c r="Q23" s="86"/>
      <c r="R23" s="86"/>
      <c r="S23" s="86"/>
      <c r="T23" s="86"/>
      <c r="U23" s="86"/>
      <c r="V23" s="86"/>
      <c r="W23" s="86"/>
      <c r="X23" s="86"/>
      <c r="Y23" s="86"/>
      <c r="Z23" s="86"/>
      <c r="AA23" s="86"/>
      <c r="AB23" s="86"/>
      <c r="AC23" s="86"/>
      <c r="AD23" s="86"/>
      <c r="AE23" s="86"/>
      <c r="AF23" s="86"/>
      <c r="AG23" s="86"/>
      <c r="AH23" s="86"/>
      <c r="AI23" s="86"/>
      <c r="AJ23" s="86"/>
      <c r="AK23" s="86"/>
      <c r="AL23" s="86"/>
      <c r="AP23" s="597" t="s">
        <v>174</v>
      </c>
      <c r="AQ23" s="598" t="s">
        <v>103</v>
      </c>
      <c r="AR23" s="601" t="s">
        <v>43</v>
      </c>
      <c r="AS23" s="114"/>
      <c r="AT23" s="602" t="s">
        <v>57</v>
      </c>
    </row>
    <row r="24" spans="1:50" ht="28" customHeight="1">
      <c r="A24" s="388">
        <v>3</v>
      </c>
      <c r="B24" s="259">
        <f>'Cover Page'!$H$16</f>
        <v>0</v>
      </c>
      <c r="C24" s="368" t="s">
        <v>242</v>
      </c>
      <c r="D24" s="385" t="s">
        <v>244</v>
      </c>
      <c r="E24" s="386"/>
      <c r="F24" s="386"/>
      <c r="G24" s="386"/>
      <c r="H24" s="387"/>
      <c r="I24" s="368" t="s">
        <v>274</v>
      </c>
      <c r="J24" s="369"/>
      <c r="K24" s="260" t="s">
        <v>277</v>
      </c>
      <c r="L24" s="234">
        <v>3</v>
      </c>
      <c r="M24" s="374">
        <f>AVERAGE(L24:L25)</f>
        <v>3</v>
      </c>
      <c r="P24" s="86"/>
      <c r="Q24" s="86"/>
      <c r="R24" s="86"/>
      <c r="S24" s="86"/>
      <c r="T24" s="86"/>
      <c r="U24" s="86"/>
      <c r="V24" s="86"/>
      <c r="W24" s="86"/>
      <c r="X24" s="86"/>
      <c r="Y24" s="86"/>
      <c r="Z24" s="86"/>
      <c r="AA24" s="86"/>
      <c r="AB24" s="86"/>
      <c r="AC24" s="86"/>
      <c r="AD24" s="86"/>
      <c r="AE24" s="86"/>
      <c r="AF24" s="86"/>
      <c r="AG24" s="86"/>
      <c r="AH24" s="86"/>
      <c r="AI24" s="86"/>
      <c r="AJ24" s="86"/>
      <c r="AK24" s="86"/>
      <c r="AL24" s="86"/>
      <c r="AP24" s="597" t="s">
        <v>174</v>
      </c>
      <c r="AQ24" s="598" t="s">
        <v>45</v>
      </c>
      <c r="AR24" s="601" t="s">
        <v>52</v>
      </c>
      <c r="AS24" s="114"/>
      <c r="AT24" s="602" t="s">
        <v>53</v>
      </c>
    </row>
    <row r="25" spans="1:50" ht="28" customHeight="1" thickBot="1">
      <c r="A25" s="388"/>
      <c r="B25" s="259"/>
      <c r="C25" s="372"/>
      <c r="D25" s="390" t="s">
        <v>311</v>
      </c>
      <c r="E25" s="391"/>
      <c r="F25" s="391"/>
      <c r="G25" s="391"/>
      <c r="H25" s="392"/>
      <c r="I25" s="372"/>
      <c r="J25" s="373"/>
      <c r="K25" s="264" t="s">
        <v>353</v>
      </c>
      <c r="L25" s="235">
        <v>3</v>
      </c>
      <c r="M25" s="374"/>
      <c r="P25" s="86"/>
      <c r="Q25" s="86"/>
      <c r="R25" s="86"/>
      <c r="S25" s="86"/>
      <c r="T25" s="86"/>
      <c r="U25" s="86"/>
      <c r="V25" s="86"/>
      <c r="W25" s="86"/>
      <c r="X25" s="86"/>
      <c r="Y25" s="86"/>
      <c r="Z25" s="86"/>
      <c r="AA25" s="86"/>
      <c r="AB25" s="86"/>
      <c r="AC25" s="86"/>
      <c r="AD25" s="86"/>
      <c r="AE25" s="86"/>
      <c r="AF25" s="86"/>
      <c r="AG25" s="86"/>
      <c r="AH25" s="86"/>
      <c r="AI25" s="86"/>
      <c r="AJ25" s="86"/>
      <c r="AK25" s="86"/>
      <c r="AL25" s="86"/>
      <c r="AP25" s="597" t="s">
        <v>174</v>
      </c>
      <c r="AQ25" s="598" t="s">
        <v>99</v>
      </c>
      <c r="AR25" s="601" t="s">
        <v>141</v>
      </c>
      <c r="AS25" s="115"/>
      <c r="AT25" s="602" t="s">
        <v>58</v>
      </c>
    </row>
    <row r="26" spans="1:50" ht="28" customHeight="1" thickBot="1">
      <c r="A26" s="229"/>
      <c r="B26" s="229"/>
      <c r="C26" s="381" t="s">
        <v>168</v>
      </c>
      <c r="D26" s="381"/>
      <c r="E26" s="381"/>
      <c r="F26" s="381"/>
      <c r="G26" s="381"/>
      <c r="H26" s="381"/>
      <c r="I26" s="382" t="s">
        <v>318</v>
      </c>
      <c r="J26" s="382"/>
      <c r="K26" s="382"/>
      <c r="L26" s="382"/>
      <c r="M26" s="227" t="s">
        <v>35</v>
      </c>
      <c r="P26" s="86"/>
      <c r="Q26" s="86"/>
      <c r="R26" s="86"/>
      <c r="S26" s="86"/>
      <c r="T26" s="86"/>
      <c r="U26" s="86"/>
      <c r="V26" s="86"/>
      <c r="W26" s="86"/>
      <c r="X26" s="86"/>
      <c r="Y26" s="86"/>
      <c r="Z26" s="86"/>
      <c r="AA26" s="86"/>
      <c r="AB26" s="86"/>
      <c r="AC26" s="86"/>
      <c r="AD26" s="86"/>
      <c r="AE26" s="86"/>
      <c r="AF26" s="86"/>
      <c r="AG26" s="86"/>
      <c r="AH26" s="86"/>
      <c r="AI26" s="86"/>
      <c r="AJ26" s="86"/>
      <c r="AK26" s="86"/>
      <c r="AL26" s="86"/>
      <c r="AP26" s="597"/>
      <c r="AQ26" s="598" t="s">
        <v>15</v>
      </c>
      <c r="AR26" s="603"/>
      <c r="AS26" s="114" t="s">
        <v>145</v>
      </c>
      <c r="AT26" s="603"/>
    </row>
    <row r="27" spans="1:50" ht="28" customHeight="1" thickBot="1">
      <c r="A27" s="53">
        <v>4</v>
      </c>
      <c r="B27" s="63">
        <f>'Cover Page'!$H$16</f>
        <v>0</v>
      </c>
      <c r="C27" s="378">
        <f>IF(B27="Top Management",VLOOKUP(B27,AP3:AR7,3,0),IF(B27="Middle Management",VLOOKUP(B27,AP8:AR12,3,0),IF(B27="Staff",VLOOKUP(B27,AP13:AR17,3,0),IF(B27="Blue Collar",VLOOKUP(B27,AP18:AR22,3,0),IF(B27="Blue Collar - Technicians",VLOOKUP(B27,AP23:AR28,3,0),0)))))</f>
        <v>0</v>
      </c>
      <c r="D27" s="379"/>
      <c r="E27" s="379"/>
      <c r="F27" s="379"/>
      <c r="G27" s="379"/>
      <c r="H27" s="380"/>
      <c r="I27" s="375">
        <f>IF(B27="Top Management",VLOOKUP(B27,AP3:AT7,5,0),IF(B27="Middle Management",VLOOKUP(B27,AP8:AT12,5,0),IF(B27="Staff",VLOOKUP(B27,AP13:AT17,5,0),IF(B27="Blue Collar - Lead",VLOOKUP(B27,AP18:AT22,5,0),IF(B27="Blue Collar - Technicians",VLOOKUP(B27,AP23:AT28,5,0),0)))))</f>
        <v>0</v>
      </c>
      <c r="J27" s="375"/>
      <c r="K27" s="375"/>
      <c r="L27" s="375"/>
      <c r="M27" s="66">
        <v>3</v>
      </c>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P27" s="597" t="s">
        <v>174</v>
      </c>
      <c r="AQ27" s="598" t="s">
        <v>46</v>
      </c>
      <c r="AR27" s="603"/>
      <c r="AS27" s="114" t="s">
        <v>67</v>
      </c>
      <c r="AT27" s="603"/>
    </row>
    <row r="28" spans="1:50" ht="28" customHeight="1">
      <c r="A28" s="51">
        <v>5</v>
      </c>
      <c r="B28" s="63">
        <f>'Cover Page'!$H$16</f>
        <v>0</v>
      </c>
      <c r="C28" s="378">
        <f>IF(B28="Top Management",VLOOKUP(B28,AP4:AR8,3,0),IF(B28="Middle Management",VLOOKUP(B28,AP9:AR13,3,0),IF(B28="Staff",VLOOKUP(B28,AP14:AR18,3,0),IF(B28="Blue Collar",VLOOKUP(B28,AP19:AR23,3,0),IF(B28="Blue Collar - Technicians",VLOOKUP(B28,AP24:AR29,3,0),0)))))</f>
        <v>0</v>
      </c>
      <c r="D28" s="379"/>
      <c r="E28" s="379"/>
      <c r="F28" s="379"/>
      <c r="G28" s="379"/>
      <c r="H28" s="380"/>
      <c r="I28" s="375">
        <f>IF(B28="Top Management",VLOOKUP(B28,AP4:AT8,5,0),IF(B28="Middle Management",VLOOKUP(B28,AP9:AT13,5,0),IF(B28="Staff",VLOOKUP(B28,AP14:AT18,5,0),IF(B28="Blue Collar - Lead",VLOOKUP(B28,AP19:AT23,5,0),IF(B28="Blue Collar - Technicians",VLOOKUP(B28,AP24:AT29,5,0),0)))))</f>
        <v>0</v>
      </c>
      <c r="J28" s="375"/>
      <c r="K28" s="375"/>
      <c r="L28" s="375"/>
      <c r="M28" s="66">
        <v>3</v>
      </c>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P28" s="597" t="s">
        <v>174</v>
      </c>
      <c r="AQ28" s="44"/>
      <c r="AR28" s="44"/>
      <c r="AS28" s="44"/>
      <c r="AT28" s="44"/>
    </row>
    <row r="29" spans="1:50" ht="28" customHeight="1" thickBot="1">
      <c r="A29" s="53">
        <v>6</v>
      </c>
      <c r="B29" s="63">
        <f>'Cover Page'!$H$16</f>
        <v>0</v>
      </c>
      <c r="C29" s="375">
        <f>IF(B29="Top Management",VLOOKUP(B29,AP5:AR9,3,0),IF(B29="Middle Management",VLOOKUP(B29,AP10:AR14,3,0),IF(B29="Staff",VLOOKUP(B29,AP15:AR19,3,0),IF(B29="Blue Collar - lead",VLOOKUP(B29,AP20:AR24,3,0),IF(B29="Blue Collar - Technicians",VLOOKUP(B29,AP25:AR30,3,0),0)))))</f>
        <v>0</v>
      </c>
      <c r="D29" s="376"/>
      <c r="E29" s="376"/>
      <c r="F29" s="376"/>
      <c r="G29" s="376"/>
      <c r="H29" s="377"/>
      <c r="I29" s="375">
        <f>IF(B29="Top Management",VLOOKUP(B29,AP5:AT9,5,0),IF(B29="Middle Management",VLOOKUP(B29,AP10:AT14,5,0),IF(B29="Staff",VLOOKUP(B29,AP15:AT19,5,0),IF(B29="Blue Collar - Lead",VLOOKUP(B29,AP20:AT24,5,0),IF(B29="Blue Collar - Technicians",VLOOKUP(B29,AP25:AT30,5,0),0)))))</f>
        <v>0</v>
      </c>
      <c r="J29" s="375"/>
      <c r="K29" s="375"/>
      <c r="L29" s="375"/>
      <c r="M29" s="66">
        <v>3</v>
      </c>
      <c r="N29" s="85"/>
      <c r="O29" s="86"/>
      <c r="P29" s="86"/>
      <c r="Q29" s="86"/>
      <c r="R29" s="86"/>
      <c r="S29" s="86"/>
      <c r="T29" s="86"/>
      <c r="U29" s="86"/>
      <c r="V29" s="86"/>
      <c r="W29" s="86"/>
      <c r="X29" s="86"/>
      <c r="Y29" s="86"/>
      <c r="Z29" s="85"/>
      <c r="AA29" s="85"/>
      <c r="AB29" s="85"/>
      <c r="AC29" s="85"/>
      <c r="AD29" s="85"/>
      <c r="AE29" s="85"/>
      <c r="AF29" s="85"/>
      <c r="AG29" s="85"/>
      <c r="AH29" s="85"/>
      <c r="AI29" s="85"/>
      <c r="AJ29" s="85"/>
      <c r="AK29" s="85"/>
      <c r="AL29" s="85"/>
    </row>
    <row r="30" spans="1:50" ht="28" customHeight="1" thickBot="1">
      <c r="A30" s="148"/>
      <c r="B30" s="149"/>
      <c r="C30" s="150"/>
      <c r="D30" s="150"/>
      <c r="E30" s="150"/>
      <c r="F30" s="150"/>
      <c r="G30" s="150"/>
      <c r="H30" s="150"/>
      <c r="I30" s="150"/>
      <c r="J30" s="150"/>
      <c r="K30" s="150"/>
      <c r="L30" s="151"/>
      <c r="M30" s="55"/>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Q30" s="50"/>
      <c r="AR30" s="50"/>
    </row>
    <row r="31" spans="1:50" ht="28" customHeight="1" thickBot="1">
      <c r="A31" s="311" t="s">
        <v>22</v>
      </c>
      <c r="B31" s="312"/>
      <c r="C31" s="312"/>
      <c r="D31" s="312"/>
      <c r="E31" s="312"/>
      <c r="F31" s="312"/>
      <c r="G31" s="312"/>
      <c r="H31" s="312"/>
      <c r="I31" s="312"/>
      <c r="J31" s="312"/>
      <c r="K31" s="312"/>
      <c r="L31" s="312"/>
      <c r="M31" s="313"/>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P31" s="50"/>
    </row>
    <row r="32" spans="1:50" ht="19.5" customHeight="1">
      <c r="A32" s="302" t="s">
        <v>23</v>
      </c>
      <c r="B32" s="303"/>
      <c r="C32" s="303"/>
      <c r="D32" s="303"/>
      <c r="E32" s="303"/>
      <c r="F32" s="303"/>
      <c r="G32" s="303"/>
      <c r="H32" s="304"/>
      <c r="I32" s="314" t="s">
        <v>24</v>
      </c>
      <c r="J32" s="314"/>
      <c r="K32" s="314"/>
      <c r="L32" s="314"/>
      <c r="M32" s="315"/>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Q32" s="50"/>
      <c r="AR32" s="50"/>
      <c r="AS32" s="88"/>
    </row>
    <row r="33" spans="1:48" s="50" customFormat="1" ht="22.5" customHeight="1">
      <c r="A33" s="305"/>
      <c r="B33" s="306"/>
      <c r="C33" s="306"/>
      <c r="D33" s="306"/>
      <c r="E33" s="306"/>
      <c r="F33" s="306"/>
      <c r="G33" s="306"/>
      <c r="H33" s="306"/>
      <c r="I33" s="306"/>
      <c r="J33" s="306"/>
      <c r="K33" s="306"/>
      <c r="L33" s="306"/>
      <c r="M33" s="309"/>
      <c r="N33" s="87"/>
      <c r="O33" s="86"/>
      <c r="P33" s="86"/>
      <c r="Q33" s="86"/>
      <c r="R33" s="86"/>
      <c r="S33" s="86"/>
      <c r="T33" s="86"/>
      <c r="U33" s="86"/>
      <c r="V33" s="86"/>
      <c r="W33" s="86"/>
      <c r="X33" s="86"/>
      <c r="Y33" s="86"/>
      <c r="Z33" s="87"/>
      <c r="AA33" s="87"/>
      <c r="AB33" s="87"/>
      <c r="AC33" s="87"/>
      <c r="AD33" s="87"/>
      <c r="AE33" s="87"/>
      <c r="AF33" s="87"/>
      <c r="AG33" s="87"/>
      <c r="AH33" s="87"/>
      <c r="AI33" s="87"/>
      <c r="AJ33" s="87"/>
      <c r="AK33" s="87"/>
      <c r="AL33" s="87"/>
      <c r="AQ33" s="40"/>
      <c r="AR33" s="40"/>
      <c r="AS33" s="88"/>
      <c r="AU33" s="40"/>
    </row>
    <row r="34" spans="1:48" ht="22.5" customHeight="1">
      <c r="A34" s="305"/>
      <c r="B34" s="306"/>
      <c r="C34" s="306"/>
      <c r="D34" s="306"/>
      <c r="E34" s="306"/>
      <c r="F34" s="306"/>
      <c r="G34" s="306"/>
      <c r="H34" s="306"/>
      <c r="I34" s="306"/>
      <c r="J34" s="306"/>
      <c r="K34" s="306"/>
      <c r="L34" s="306"/>
      <c r="M34" s="309"/>
      <c r="N34" s="34"/>
      <c r="O34" s="86"/>
      <c r="P34" s="86"/>
      <c r="Q34" s="86"/>
      <c r="R34" s="86"/>
      <c r="S34" s="86"/>
      <c r="T34" s="86"/>
      <c r="U34" s="86"/>
      <c r="V34" s="86"/>
      <c r="W34" s="86"/>
      <c r="X34" s="86"/>
      <c r="Y34" s="86"/>
      <c r="Z34" s="34"/>
      <c r="AA34" s="34"/>
      <c r="AB34" s="34"/>
      <c r="AC34" s="34"/>
      <c r="AD34" s="34"/>
      <c r="AE34" s="34"/>
      <c r="AF34" s="34"/>
      <c r="AG34" s="34"/>
      <c r="AH34" s="34"/>
      <c r="AI34" s="34"/>
      <c r="AJ34" s="34"/>
      <c r="AK34" s="34"/>
      <c r="AL34" s="34"/>
      <c r="AS34" s="88"/>
    </row>
    <row r="35" spans="1:48" s="50" customFormat="1" ht="22.5" customHeight="1">
      <c r="A35" s="305"/>
      <c r="B35" s="306"/>
      <c r="C35" s="306"/>
      <c r="D35" s="306"/>
      <c r="E35" s="306"/>
      <c r="F35" s="306"/>
      <c r="G35" s="306"/>
      <c r="H35" s="306"/>
      <c r="I35" s="306"/>
      <c r="J35" s="306"/>
      <c r="K35" s="306"/>
      <c r="L35" s="306"/>
      <c r="M35" s="309"/>
      <c r="N35" s="83"/>
      <c r="O35" s="86"/>
      <c r="P35" s="86"/>
      <c r="Q35" s="86"/>
      <c r="R35" s="86"/>
      <c r="S35" s="86"/>
      <c r="T35" s="86"/>
      <c r="U35" s="86"/>
      <c r="V35" s="86"/>
      <c r="W35" s="86"/>
      <c r="X35" s="86"/>
      <c r="Y35" s="86"/>
      <c r="Z35" s="83"/>
      <c r="AA35" s="83"/>
      <c r="AB35" s="83"/>
      <c r="AC35" s="83"/>
      <c r="AD35" s="83"/>
      <c r="AE35" s="83"/>
      <c r="AF35" s="83"/>
      <c r="AG35" s="83"/>
      <c r="AH35" s="83"/>
      <c r="AI35" s="83"/>
      <c r="AJ35" s="83"/>
      <c r="AK35" s="83"/>
      <c r="AL35" s="83"/>
      <c r="AP35" s="40"/>
      <c r="AQ35" s="40"/>
      <c r="AR35" s="40"/>
      <c r="AS35" s="88"/>
      <c r="AU35" s="86"/>
      <c r="AV35" s="40"/>
    </row>
    <row r="36" spans="1:48" ht="22.5" customHeight="1">
      <c r="A36" s="305"/>
      <c r="B36" s="306"/>
      <c r="C36" s="306"/>
      <c r="D36" s="306"/>
      <c r="E36" s="306"/>
      <c r="F36" s="306"/>
      <c r="G36" s="306"/>
      <c r="H36" s="306"/>
      <c r="I36" s="306"/>
      <c r="J36" s="306"/>
      <c r="K36" s="306"/>
      <c r="L36" s="306"/>
      <c r="M36" s="309"/>
      <c r="N36" s="34"/>
      <c r="O36" s="86"/>
      <c r="P36" s="86"/>
      <c r="Q36" s="86"/>
      <c r="R36" s="86"/>
      <c r="S36" s="86"/>
      <c r="T36" s="86"/>
      <c r="U36" s="86"/>
      <c r="V36" s="86"/>
      <c r="W36" s="86"/>
      <c r="X36" s="86"/>
      <c r="Y36" s="86"/>
      <c r="Z36" s="34"/>
      <c r="AA36" s="34"/>
      <c r="AB36" s="34"/>
      <c r="AC36" s="34"/>
      <c r="AD36" s="34"/>
      <c r="AE36" s="34"/>
      <c r="AF36" s="34"/>
      <c r="AG36" s="34"/>
      <c r="AH36" s="34"/>
      <c r="AI36" s="34"/>
      <c r="AJ36" s="34"/>
      <c r="AK36" s="34"/>
      <c r="AL36" s="34"/>
      <c r="AS36" s="88"/>
      <c r="AU36" s="86"/>
      <c r="AV36" s="50"/>
    </row>
    <row r="37" spans="1:48">
      <c r="A37" s="305"/>
      <c r="B37" s="306"/>
      <c r="C37" s="306"/>
      <c r="D37" s="306"/>
      <c r="E37" s="306"/>
      <c r="F37" s="306"/>
      <c r="G37" s="306"/>
      <c r="H37" s="306"/>
      <c r="I37" s="306"/>
      <c r="J37" s="306"/>
      <c r="K37" s="306"/>
      <c r="L37" s="306"/>
      <c r="M37" s="309"/>
      <c r="N37" s="83"/>
      <c r="O37" s="86"/>
      <c r="P37" s="86"/>
      <c r="Q37" s="86"/>
      <c r="R37" s="86"/>
      <c r="S37" s="86"/>
      <c r="T37" s="86"/>
      <c r="U37" s="86"/>
      <c r="V37" s="86"/>
      <c r="W37" s="86"/>
      <c r="X37" s="86"/>
      <c r="Y37" s="86"/>
      <c r="Z37" s="83"/>
      <c r="AA37" s="83"/>
      <c r="AB37" s="83"/>
      <c r="AC37" s="83"/>
      <c r="AD37" s="83"/>
      <c r="AE37" s="83"/>
      <c r="AF37" s="83"/>
      <c r="AG37" s="83"/>
      <c r="AH37" s="83"/>
      <c r="AI37" s="83"/>
      <c r="AJ37" s="83"/>
      <c r="AK37" s="83"/>
      <c r="AL37" s="83"/>
      <c r="AS37" s="88"/>
      <c r="AU37" s="86"/>
    </row>
    <row r="38" spans="1:48" ht="16" thickBot="1">
      <c r="A38" s="307"/>
      <c r="B38" s="308"/>
      <c r="C38" s="308"/>
      <c r="D38" s="308"/>
      <c r="E38" s="308"/>
      <c r="F38" s="308"/>
      <c r="G38" s="308"/>
      <c r="H38" s="308"/>
      <c r="I38" s="308"/>
      <c r="J38" s="308"/>
      <c r="K38" s="308"/>
      <c r="L38" s="308"/>
      <c r="M38" s="310"/>
      <c r="O38" s="86"/>
      <c r="P38" s="86"/>
      <c r="Q38" s="86"/>
      <c r="R38" s="86"/>
      <c r="S38" s="86"/>
      <c r="T38" s="86"/>
      <c r="U38" s="86"/>
      <c r="V38" s="86"/>
      <c r="W38" s="86"/>
      <c r="X38" s="86"/>
      <c r="Y38" s="86"/>
      <c r="AS38" s="88"/>
      <c r="AU38" s="86"/>
      <c r="AV38" s="50"/>
    </row>
    <row r="39" spans="1:48" ht="16" thickBot="1">
      <c r="A39" s="358" t="s">
        <v>49</v>
      </c>
      <c r="B39" s="365"/>
      <c r="C39" s="365"/>
      <c r="D39" s="365"/>
      <c r="E39" s="359"/>
      <c r="F39" s="358" t="s">
        <v>2</v>
      </c>
      <c r="G39" s="365"/>
      <c r="H39" s="365"/>
      <c r="I39" s="365"/>
      <c r="J39" s="359"/>
      <c r="K39" s="358" t="s">
        <v>8</v>
      </c>
      <c r="L39" s="359"/>
      <c r="M39" s="186" t="s">
        <v>9</v>
      </c>
      <c r="AS39" s="88"/>
      <c r="AU39" s="86"/>
    </row>
    <row r="40" spans="1:48" ht="16" thickBot="1">
      <c r="A40" s="362">
        <f>'Cover Page'!AW5</f>
        <v>0</v>
      </c>
      <c r="B40" s="363"/>
      <c r="C40" s="363"/>
      <c r="D40" s="363"/>
      <c r="E40" s="364"/>
      <c r="F40" s="362">
        <f>'Cover Page'!AX5</f>
        <v>0</v>
      </c>
      <c r="G40" s="363"/>
      <c r="H40" s="363"/>
      <c r="I40" s="363"/>
      <c r="J40" s="364"/>
      <c r="K40" s="360"/>
      <c r="L40" s="361"/>
      <c r="M40" s="56"/>
      <c r="AS40" s="88"/>
      <c r="AU40" s="86"/>
    </row>
    <row r="41" spans="1:48" ht="16" thickBot="1">
      <c r="A41" s="299" t="s">
        <v>1</v>
      </c>
      <c r="B41" s="300"/>
      <c r="C41" s="300"/>
      <c r="D41" s="300"/>
      <c r="E41" s="301"/>
      <c r="F41" s="299" t="s">
        <v>2</v>
      </c>
      <c r="G41" s="300"/>
      <c r="H41" s="300"/>
      <c r="I41" s="300"/>
      <c r="J41" s="301"/>
      <c r="K41" s="299" t="s">
        <v>8</v>
      </c>
      <c r="L41" s="301"/>
      <c r="M41" s="187" t="s">
        <v>9</v>
      </c>
      <c r="AS41" s="88"/>
      <c r="AU41" s="86"/>
    </row>
    <row r="42" spans="1:48" ht="16" thickBot="1">
      <c r="A42" s="296">
        <f>'Cover Page'!AW6</f>
        <v>0</v>
      </c>
      <c r="B42" s="297"/>
      <c r="C42" s="297"/>
      <c r="D42" s="297"/>
      <c r="E42" s="298"/>
      <c r="F42" s="296">
        <f>'Cover Page'!AW7</f>
        <v>0</v>
      </c>
      <c r="G42" s="297"/>
      <c r="H42" s="297"/>
      <c r="I42" s="297"/>
      <c r="J42" s="298"/>
      <c r="K42" s="143"/>
      <c r="L42" s="144"/>
      <c r="M42" s="57"/>
      <c r="AS42" s="88"/>
      <c r="AU42" s="86"/>
    </row>
    <row r="43" spans="1:48">
      <c r="AS43" s="88"/>
      <c r="AU43" s="86"/>
    </row>
    <row r="44" spans="1:48">
      <c r="AS44" s="88"/>
    </row>
    <row r="45" spans="1:48">
      <c r="AS45" s="88"/>
    </row>
    <row r="46" spans="1:48">
      <c r="AS46" s="88"/>
    </row>
    <row r="47" spans="1:48">
      <c r="AS47" s="88"/>
    </row>
    <row r="48" spans="1:48">
      <c r="AS48" s="88"/>
    </row>
  </sheetData>
  <mergeCells count="76">
    <mergeCell ref="D23:H23"/>
    <mergeCell ref="D24:H24"/>
    <mergeCell ref="A20:A21"/>
    <mergeCell ref="A22:A23"/>
    <mergeCell ref="A24:A25"/>
    <mergeCell ref="C20:C21"/>
    <mergeCell ref="C22:C23"/>
    <mergeCell ref="C24:C25"/>
    <mergeCell ref="D25:H25"/>
    <mergeCell ref="D20:H20"/>
    <mergeCell ref="D21:H21"/>
    <mergeCell ref="D22:H22"/>
    <mergeCell ref="J10:K10"/>
    <mergeCell ref="J11:K11"/>
    <mergeCell ref="C28:H28"/>
    <mergeCell ref="I28:L28"/>
    <mergeCell ref="I29:L29"/>
    <mergeCell ref="C26:H26"/>
    <mergeCell ref="I26:L26"/>
    <mergeCell ref="C27:H27"/>
    <mergeCell ref="I27:L27"/>
    <mergeCell ref="J6:K6"/>
    <mergeCell ref="K39:L39"/>
    <mergeCell ref="K40:L40"/>
    <mergeCell ref="A40:E40"/>
    <mergeCell ref="F40:J40"/>
    <mergeCell ref="A39:E39"/>
    <mergeCell ref="F39:J39"/>
    <mergeCell ref="L15:M15"/>
    <mergeCell ref="I20:J21"/>
    <mergeCell ref="I22:J23"/>
    <mergeCell ref="I24:J25"/>
    <mergeCell ref="M20:M21"/>
    <mergeCell ref="M22:M23"/>
    <mergeCell ref="M24:M25"/>
    <mergeCell ref="C29:H29"/>
    <mergeCell ref="L16:M16"/>
    <mergeCell ref="I17:J17"/>
    <mergeCell ref="L17:M17"/>
    <mergeCell ref="I19:K19"/>
    <mergeCell ref="A1:M1"/>
    <mergeCell ref="J8:K8"/>
    <mergeCell ref="J9:K9"/>
    <mergeCell ref="A13:K13"/>
    <mergeCell ref="C5:I5"/>
    <mergeCell ref="J5:K5"/>
    <mergeCell ref="C12:I12"/>
    <mergeCell ref="A3:M3"/>
    <mergeCell ref="J12:K12"/>
    <mergeCell ref="C6:I6"/>
    <mergeCell ref="C7:I7"/>
    <mergeCell ref="J7:K7"/>
    <mergeCell ref="A16:C17"/>
    <mergeCell ref="C19:H19"/>
    <mergeCell ref="D17:F17"/>
    <mergeCell ref="D16:F16"/>
    <mergeCell ref="G16:H16"/>
    <mergeCell ref="G17:H17"/>
    <mergeCell ref="C8:I8"/>
    <mergeCell ref="C9:I9"/>
    <mergeCell ref="I15:K15"/>
    <mergeCell ref="A15:E15"/>
    <mergeCell ref="F15:H15"/>
    <mergeCell ref="I16:J16"/>
    <mergeCell ref="C10:I10"/>
    <mergeCell ref="C11:I11"/>
    <mergeCell ref="A32:H32"/>
    <mergeCell ref="A33:H38"/>
    <mergeCell ref="I33:M38"/>
    <mergeCell ref="A31:M31"/>
    <mergeCell ref="I32:M32"/>
    <mergeCell ref="A42:E42"/>
    <mergeCell ref="F42:J42"/>
    <mergeCell ref="F41:J41"/>
    <mergeCell ref="A41:E41"/>
    <mergeCell ref="K41:L41"/>
  </mergeCells>
  <phoneticPr fontId="27" type="noConversion"/>
  <conditionalFormatting sqref="N16:AL16 M13">
    <cfRule type="containsText" dxfId="10" priority="2" stopIfTrue="1" operator="containsText" text="Error">
      <formula>NOT(ISERROR(SEARCH("Error",M13)))</formula>
    </cfRule>
  </conditionalFormatting>
  <printOptions horizontalCentered="1"/>
  <pageMargins left="0.25" right="0.25" top="0.64" bottom="0.44" header="0.38" footer="0.15"/>
  <pageSetup paperSize="9" scale="67" orientation="portrait" r:id="rId1"/>
  <legacyDrawingHF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30"/>
    <pageSetUpPr fitToPage="1"/>
  </sheetPr>
  <dimension ref="A1:U47"/>
  <sheetViews>
    <sheetView showGridLines="0" zoomScale="63" zoomScaleNormal="63" zoomScaleSheetLayoutView="80" workbookViewId="0">
      <selection activeCell="M29" sqref="M29"/>
    </sheetView>
  </sheetViews>
  <sheetFormatPr baseColWidth="10" defaultColWidth="9.1640625" defaultRowHeight="15"/>
  <cols>
    <col min="1" max="1" width="3.33203125" style="40" customWidth="1"/>
    <col min="2" max="2" width="12.1640625" style="40" customWidth="1"/>
    <col min="3" max="3" width="6.5" style="40" customWidth="1"/>
    <col min="4" max="4" width="20.33203125" style="40" customWidth="1"/>
    <col min="5" max="5" width="9.5" style="40" customWidth="1"/>
    <col min="6" max="6" width="7" style="40" hidden="1" customWidth="1"/>
    <col min="7" max="7" width="9.83203125" style="40" customWidth="1"/>
    <col min="8" max="8" width="19.1640625" style="40" bestFit="1" customWidth="1"/>
    <col min="9" max="9" width="19.5" style="40" bestFit="1" customWidth="1"/>
    <col min="10" max="10" width="12.5" style="40" customWidth="1"/>
    <col min="11" max="11" width="9.1640625" style="40" hidden="1" customWidth="1"/>
    <col min="12" max="12" width="9.1640625" style="40"/>
    <col min="13" max="13" width="39.1640625" style="47" bestFit="1" customWidth="1"/>
    <col min="14" max="14" width="71.33203125" style="40" customWidth="1"/>
    <col min="15" max="20" width="9.1640625" style="40"/>
    <col min="21" max="21" width="0" style="40" hidden="1" customWidth="1"/>
    <col min="22" max="16384" width="9.1640625" style="40"/>
  </cols>
  <sheetData>
    <row r="1" spans="1:21" s="39" customFormat="1" ht="29.25" customHeight="1">
      <c r="A1" s="420" t="s">
        <v>66</v>
      </c>
      <c r="B1" s="421"/>
      <c r="C1" s="421"/>
      <c r="D1" s="421"/>
      <c r="E1" s="421"/>
      <c r="F1" s="421"/>
      <c r="G1" s="421"/>
      <c r="H1" s="421"/>
      <c r="I1" s="421"/>
      <c r="J1" s="421"/>
      <c r="K1" s="421"/>
      <c r="L1" s="421"/>
      <c r="M1" s="421"/>
      <c r="N1" s="422"/>
    </row>
    <row r="2" spans="1:21" ht="6" customHeight="1">
      <c r="A2" s="353" t="s">
        <v>10</v>
      </c>
      <c r="B2" s="354"/>
      <c r="C2" s="354"/>
      <c r="D2" s="354"/>
      <c r="E2" s="354"/>
      <c r="F2" s="354"/>
      <c r="G2" s="354"/>
      <c r="H2" s="354"/>
      <c r="I2" s="354"/>
      <c r="J2" s="354"/>
      <c r="K2" s="354"/>
      <c r="L2" s="354"/>
      <c r="M2" s="354"/>
      <c r="N2" s="355"/>
    </row>
    <row r="3" spans="1:21" ht="15" customHeight="1">
      <c r="A3" s="353"/>
      <c r="B3" s="354"/>
      <c r="C3" s="354"/>
      <c r="D3" s="354"/>
      <c r="E3" s="354"/>
      <c r="F3" s="354"/>
      <c r="G3" s="354"/>
      <c r="H3" s="354"/>
      <c r="I3" s="354"/>
      <c r="J3" s="354"/>
      <c r="K3" s="354"/>
      <c r="L3" s="354"/>
      <c r="M3" s="354"/>
      <c r="N3" s="355"/>
    </row>
    <row r="4" spans="1:21">
      <c r="A4" s="353"/>
      <c r="B4" s="354"/>
      <c r="C4" s="354"/>
      <c r="D4" s="354"/>
      <c r="E4" s="354"/>
      <c r="F4" s="354"/>
      <c r="G4" s="354"/>
      <c r="H4" s="354"/>
      <c r="I4" s="354"/>
      <c r="J4" s="354"/>
      <c r="K4" s="354"/>
      <c r="L4" s="354"/>
      <c r="M4" s="354"/>
      <c r="N4" s="355"/>
    </row>
    <row r="5" spans="1:21" ht="6" customHeight="1" thickBot="1">
      <c r="A5" s="353"/>
      <c r="B5" s="354"/>
      <c r="C5" s="354"/>
      <c r="D5" s="354"/>
      <c r="E5" s="354"/>
      <c r="F5" s="354"/>
      <c r="G5" s="354"/>
      <c r="H5" s="354"/>
      <c r="I5" s="354"/>
      <c r="J5" s="354"/>
      <c r="K5" s="354"/>
      <c r="L5" s="354"/>
      <c r="M5" s="354"/>
      <c r="N5" s="355"/>
    </row>
    <row r="6" spans="1:21" ht="34" customHeight="1" thickBot="1">
      <c r="A6" s="195" t="s">
        <v>169</v>
      </c>
      <c r="B6" s="312" t="s">
        <v>11</v>
      </c>
      <c r="C6" s="312"/>
      <c r="D6" s="312"/>
      <c r="E6" s="352" t="s">
        <v>5</v>
      </c>
      <c r="F6" s="352"/>
      <c r="G6" s="352"/>
      <c r="H6" s="352"/>
      <c r="I6" s="352"/>
      <c r="J6" s="167" t="s">
        <v>6</v>
      </c>
      <c r="K6" s="196"/>
      <c r="L6" s="167" t="s">
        <v>12</v>
      </c>
      <c r="M6" s="167" t="s">
        <v>62</v>
      </c>
      <c r="N6" s="163" t="s">
        <v>179</v>
      </c>
    </row>
    <row r="7" spans="1:21" ht="62" customHeight="1" thickBot="1">
      <c r="A7" s="27">
        <v>1</v>
      </c>
      <c r="B7" s="606">
        <f>'Objectives Setting'!C6</f>
        <v>0</v>
      </c>
      <c r="C7" s="606"/>
      <c r="D7" s="606"/>
      <c r="E7" s="419">
        <f>'Objectives Setting'!J6</f>
        <v>0</v>
      </c>
      <c r="F7" s="419"/>
      <c r="G7" s="419"/>
      <c r="H7" s="419"/>
      <c r="I7" s="419"/>
      <c r="J7" s="52">
        <f>'Objectives Setting'!L6</f>
        <v>0</v>
      </c>
      <c r="K7" s="164"/>
      <c r="L7" s="165"/>
      <c r="M7" s="166">
        <f>J7*L7</f>
        <v>0</v>
      </c>
      <c r="N7" s="162"/>
      <c r="O7" s="41"/>
      <c r="P7" s="41"/>
      <c r="Q7" s="41"/>
      <c r="R7" s="41"/>
      <c r="S7" s="41"/>
      <c r="T7" s="41"/>
      <c r="U7" s="98">
        <f>88%*40%</f>
        <v>0.35200000000000004</v>
      </c>
    </row>
    <row r="8" spans="1:21" ht="64" customHeight="1" thickBot="1">
      <c r="A8" s="28">
        <v>2</v>
      </c>
      <c r="B8" s="606">
        <f>'Objectives Setting'!C7</f>
        <v>0</v>
      </c>
      <c r="C8" s="606"/>
      <c r="D8" s="606"/>
      <c r="E8" s="419">
        <f>'Objectives Setting'!J7</f>
        <v>0</v>
      </c>
      <c r="F8" s="419"/>
      <c r="G8" s="419"/>
      <c r="H8" s="419"/>
      <c r="I8" s="419"/>
      <c r="J8" s="52">
        <f>'Objectives Setting'!L7</f>
        <v>0</v>
      </c>
      <c r="K8" s="44"/>
      <c r="L8" s="165"/>
      <c r="M8" s="166">
        <f t="shared" ref="M8:M13" si="0">J8*L8</f>
        <v>0</v>
      </c>
      <c r="N8" s="158"/>
    </row>
    <row r="9" spans="1:21" ht="67" customHeight="1" thickBot="1">
      <c r="A9" s="28">
        <v>3</v>
      </c>
      <c r="B9" s="606">
        <f>'Objectives Setting'!C8</f>
        <v>0</v>
      </c>
      <c r="C9" s="606"/>
      <c r="D9" s="606"/>
      <c r="E9" s="419">
        <f>'Objectives Setting'!J8</f>
        <v>0</v>
      </c>
      <c r="F9" s="419"/>
      <c r="G9" s="419"/>
      <c r="H9" s="419"/>
      <c r="I9" s="419"/>
      <c r="J9" s="52">
        <f>'Objectives Setting'!L8</f>
        <v>0</v>
      </c>
      <c r="K9" s="44"/>
      <c r="L9" s="165"/>
      <c r="M9" s="166">
        <f t="shared" si="0"/>
        <v>0</v>
      </c>
      <c r="N9" s="158"/>
      <c r="R9" s="199" t="s">
        <v>175</v>
      </c>
    </row>
    <row r="10" spans="1:21" ht="75" customHeight="1" thickBot="1">
      <c r="A10" s="27">
        <v>4</v>
      </c>
      <c r="B10" s="606">
        <f>'Objectives Setting'!C9</f>
        <v>0</v>
      </c>
      <c r="C10" s="606"/>
      <c r="D10" s="606"/>
      <c r="E10" s="419">
        <f>'Objectives Setting'!J9</f>
        <v>0</v>
      </c>
      <c r="F10" s="419"/>
      <c r="G10" s="419"/>
      <c r="H10" s="419"/>
      <c r="I10" s="419"/>
      <c r="J10" s="52">
        <f>'Objectives Setting'!L9</f>
        <v>0</v>
      </c>
      <c r="K10" s="44"/>
      <c r="L10" s="165"/>
      <c r="M10" s="166">
        <f t="shared" si="0"/>
        <v>0</v>
      </c>
      <c r="N10" s="158"/>
    </row>
    <row r="11" spans="1:21" ht="75" customHeight="1" thickBot="1">
      <c r="A11" s="27">
        <v>5</v>
      </c>
      <c r="B11" s="606">
        <f>'Objectives Setting'!C10</f>
        <v>0</v>
      </c>
      <c r="C11" s="606"/>
      <c r="D11" s="606"/>
      <c r="E11" s="419">
        <f>'Objectives Setting'!J10</f>
        <v>0</v>
      </c>
      <c r="F11" s="419"/>
      <c r="G11" s="419"/>
      <c r="H11" s="419"/>
      <c r="I11" s="419"/>
      <c r="J11" s="52">
        <f>'Objectives Setting'!L10</f>
        <v>0</v>
      </c>
      <c r="K11" s="44"/>
      <c r="L11" s="165"/>
      <c r="M11" s="166">
        <f t="shared" si="0"/>
        <v>0</v>
      </c>
      <c r="N11" s="158"/>
    </row>
    <row r="12" spans="1:21" ht="78.5" customHeight="1" thickBot="1">
      <c r="A12" s="31">
        <v>6</v>
      </c>
      <c r="B12" s="606" t="e">
        <f>'Objectives Setting'!C11</f>
        <v>#N/A</v>
      </c>
      <c r="C12" s="606"/>
      <c r="D12" s="606"/>
      <c r="E12" s="424" t="e">
        <f>'Objectives Setting'!J11</f>
        <v>#N/A</v>
      </c>
      <c r="F12" s="424"/>
      <c r="G12" s="424"/>
      <c r="H12" s="424"/>
      <c r="I12" s="424"/>
      <c r="J12" s="52">
        <f>'Objectives Setting'!L11</f>
        <v>0.1</v>
      </c>
      <c r="K12" s="44"/>
      <c r="L12" s="30"/>
      <c r="M12" s="166">
        <f t="shared" si="0"/>
        <v>0</v>
      </c>
      <c r="N12" s="158"/>
    </row>
    <row r="13" spans="1:21" ht="45.5" customHeight="1">
      <c r="A13" s="31">
        <v>7</v>
      </c>
      <c r="B13" s="606" t="e">
        <f>'Objectives Setting'!C12</f>
        <v>#N/A</v>
      </c>
      <c r="C13" s="606"/>
      <c r="D13" s="606"/>
      <c r="E13" s="424" t="e">
        <f>'Objectives Setting'!J12</f>
        <v>#N/A</v>
      </c>
      <c r="F13" s="424"/>
      <c r="G13" s="424"/>
      <c r="H13" s="424"/>
      <c r="I13" s="424"/>
      <c r="J13" s="52">
        <f>'Objectives Setting'!L12</f>
        <v>0.05</v>
      </c>
      <c r="K13" s="44"/>
      <c r="L13" s="30"/>
      <c r="M13" s="166">
        <f t="shared" si="0"/>
        <v>0</v>
      </c>
      <c r="N13" s="158"/>
    </row>
    <row r="14" spans="1:21" ht="39" hidden="1" customHeight="1">
      <c r="A14" s="31">
        <v>8</v>
      </c>
      <c r="B14" s="423">
        <f>'Objectives Setting'!AE13</f>
        <v>0</v>
      </c>
      <c r="C14" s="423"/>
      <c r="D14" s="423"/>
      <c r="E14" s="424" t="e">
        <f>'Objectives Setting'!#REF!</f>
        <v>#REF!</v>
      </c>
      <c r="F14" s="424"/>
      <c r="G14" s="424"/>
      <c r="H14" s="424"/>
      <c r="I14" s="424"/>
      <c r="J14" s="52" t="e">
        <f>'Objectives Setting'!#REF!</f>
        <v>#REF!</v>
      </c>
      <c r="K14" s="82"/>
      <c r="L14" s="169"/>
      <c r="M14" s="168" t="e">
        <f t="shared" ref="M14" si="1">L14*J14</f>
        <v>#REF!</v>
      </c>
      <c r="N14" s="43"/>
    </row>
    <row r="15" spans="1:21" ht="18.75" customHeight="1">
      <c r="A15" s="452" t="s">
        <v>70</v>
      </c>
      <c r="B15" s="453"/>
      <c r="C15" s="453"/>
      <c r="D15" s="453"/>
      <c r="E15" s="453"/>
      <c r="F15" s="453"/>
      <c r="G15" s="453"/>
      <c r="H15" s="453"/>
      <c r="I15" s="453"/>
      <c r="J15" s="453"/>
      <c r="K15" s="453"/>
      <c r="L15" s="454"/>
      <c r="M15" s="170">
        <f>ROUNDDOWN(SUM(M7:M13),2)</f>
        <v>0</v>
      </c>
      <c r="N15" s="443"/>
      <c r="O15" s="217"/>
    </row>
    <row r="16" spans="1:21" ht="18.75" customHeight="1">
      <c r="A16" s="209"/>
      <c r="B16" s="211"/>
      <c r="C16" s="211"/>
      <c r="D16" s="413" t="s">
        <v>233</v>
      </c>
      <c r="E16" s="413"/>
      <c r="F16" s="413"/>
      <c r="G16" s="413"/>
      <c r="H16" s="413"/>
      <c r="I16" s="413"/>
      <c r="J16" s="413"/>
      <c r="K16" s="413"/>
      <c r="L16" s="413"/>
      <c r="M16" s="223" t="e">
        <f>VLOOKUP(M15,'Sucession Plan Score'!I:J,2)</f>
        <v>#N/A</v>
      </c>
      <c r="N16" s="443"/>
    </row>
    <row r="17" spans="1:20" ht="18.75" customHeight="1" thickBot="1">
      <c r="A17" s="412" t="s">
        <v>69</v>
      </c>
      <c r="B17" s="413"/>
      <c r="C17" s="413"/>
      <c r="D17" s="413"/>
      <c r="E17" s="413"/>
      <c r="F17" s="413"/>
      <c r="G17" s="413"/>
      <c r="H17" s="413"/>
      <c r="I17" s="413"/>
      <c r="J17" s="413"/>
      <c r="K17" s="413"/>
      <c r="L17" s="414"/>
      <c r="M17" s="171">
        <f>'Objectives Setting'!L15</f>
        <v>0</v>
      </c>
      <c r="N17" s="443"/>
    </row>
    <row r="18" spans="1:20" ht="18.75" customHeight="1" thickBot="1">
      <c r="A18" s="172"/>
      <c r="B18" s="64"/>
      <c r="C18" s="64"/>
      <c r="D18" s="64"/>
      <c r="E18" s="64"/>
      <c r="F18" s="64"/>
      <c r="G18" s="64"/>
      <c r="H18" s="64"/>
      <c r="I18" s="64"/>
      <c r="M18" s="159"/>
      <c r="N18" s="443"/>
    </row>
    <row r="19" spans="1:20" ht="18.75" customHeight="1">
      <c r="A19" s="458" t="s">
        <v>75</v>
      </c>
      <c r="B19" s="459"/>
      <c r="C19" s="460"/>
      <c r="D19" s="232" t="s">
        <v>278</v>
      </c>
      <c r="E19" s="455" t="s">
        <v>279</v>
      </c>
      <c r="F19" s="456"/>
      <c r="G19" s="457"/>
      <c r="H19" s="232" t="s">
        <v>280</v>
      </c>
      <c r="I19" s="232" t="s">
        <v>281</v>
      </c>
      <c r="J19" s="449" t="s">
        <v>282</v>
      </c>
      <c r="K19" s="450"/>
      <c r="L19" s="450"/>
      <c r="M19" s="451"/>
      <c r="N19" s="443"/>
      <c r="O19" s="65"/>
      <c r="P19" s="65"/>
      <c r="Q19" s="65"/>
      <c r="R19" s="65"/>
      <c r="S19" s="65"/>
      <c r="T19" s="65"/>
    </row>
    <row r="20" spans="1:20" ht="18.75" customHeight="1">
      <c r="A20" s="461"/>
      <c r="B20" s="462"/>
      <c r="C20" s="463"/>
      <c r="D20" s="197">
        <v>1</v>
      </c>
      <c r="E20" s="446">
        <v>2</v>
      </c>
      <c r="F20" s="447"/>
      <c r="G20" s="448"/>
      <c r="H20" s="180">
        <v>3</v>
      </c>
      <c r="I20" s="180">
        <v>4</v>
      </c>
      <c r="J20" s="340">
        <v>5</v>
      </c>
      <c r="K20" s="444"/>
      <c r="L20" s="444"/>
      <c r="M20" s="445"/>
      <c r="N20" s="443"/>
      <c r="O20" s="65"/>
      <c r="P20" s="65"/>
      <c r="Q20" s="65"/>
      <c r="R20" s="65"/>
      <c r="S20" s="65"/>
      <c r="T20" s="65"/>
    </row>
    <row r="21" spans="1:20" ht="22.5" customHeight="1" thickBot="1">
      <c r="A21" s="152"/>
      <c r="M21" s="159"/>
      <c r="N21" s="443"/>
    </row>
    <row r="22" spans="1:20" s="34" customFormat="1" ht="39" customHeight="1" thickBot="1">
      <c r="A22" s="191" t="s">
        <v>169</v>
      </c>
      <c r="B22" s="416" t="s">
        <v>167</v>
      </c>
      <c r="C22" s="417"/>
      <c r="D22" s="417"/>
      <c r="E22" s="417"/>
      <c r="F22" s="417"/>
      <c r="G22" s="418"/>
      <c r="H22" s="415" t="s">
        <v>72</v>
      </c>
      <c r="I22" s="343"/>
      <c r="J22" s="343"/>
      <c r="K22" s="344"/>
      <c r="L22" s="193" t="s">
        <v>14</v>
      </c>
      <c r="M22" s="194" t="s">
        <v>13</v>
      </c>
      <c r="N22" s="190" t="s">
        <v>179</v>
      </c>
    </row>
    <row r="23" spans="1:20" ht="20" customHeight="1">
      <c r="A23" s="464">
        <v>1</v>
      </c>
      <c r="B23" s="403">
        <f>'Objectives Setting'!AS32</f>
        <v>0</v>
      </c>
      <c r="C23" s="404"/>
      <c r="D23" s="397" t="str">
        <f>'Objectives Setting'!D20</f>
        <v>Excellence</v>
      </c>
      <c r="E23" s="411"/>
      <c r="F23" s="411"/>
      <c r="G23" s="398"/>
      <c r="H23" s="407">
        <f>'Objectives Setting'!AU35</f>
        <v>0</v>
      </c>
      <c r="I23" s="397" t="str">
        <f>'Objectives Setting'!K20</f>
        <v>التميز</v>
      </c>
      <c r="J23" s="398"/>
      <c r="K23" s="226"/>
      <c r="L23" s="67">
        <f>'Objectives Setting'!L20</f>
        <v>3</v>
      </c>
      <c r="M23" s="147"/>
      <c r="N23" s="160"/>
    </row>
    <row r="24" spans="1:20" ht="20" customHeight="1" thickBot="1">
      <c r="A24" s="465"/>
      <c r="B24" s="405"/>
      <c r="C24" s="406"/>
      <c r="D24" s="397" t="str">
        <f>'Objectives Setting'!D21</f>
        <v>Success</v>
      </c>
      <c r="E24" s="411"/>
      <c r="F24" s="411"/>
      <c r="G24" s="398"/>
      <c r="H24" s="408"/>
      <c r="I24" s="397" t="str">
        <f>'Objectives Setting'!K21</f>
        <v>النجاح</v>
      </c>
      <c r="J24" s="398"/>
      <c r="K24" s="226"/>
      <c r="L24" s="67">
        <f>'Objectives Setting'!L21</f>
        <v>3</v>
      </c>
      <c r="M24" s="147"/>
      <c r="N24" s="158"/>
    </row>
    <row r="25" spans="1:20" ht="20" customHeight="1">
      <c r="A25" s="464">
        <v>2</v>
      </c>
      <c r="B25" s="399">
        <f>'Objectives Setting'!AS34</f>
        <v>0</v>
      </c>
      <c r="C25" s="400"/>
      <c r="D25" s="378" t="str">
        <f>'Objectives Setting'!D22</f>
        <v>Collaboration and Care</v>
      </c>
      <c r="E25" s="379"/>
      <c r="F25" s="379"/>
      <c r="G25" s="380"/>
      <c r="H25" s="409">
        <f>'Objectives Setting'!AU37</f>
        <v>0</v>
      </c>
      <c r="I25" s="378" t="str">
        <f>'Objectives Setting'!K22</f>
        <v>التعاون والتراحم</v>
      </c>
      <c r="J25" s="380"/>
      <c r="K25" s="233"/>
      <c r="L25" s="67">
        <f>'Objectives Setting'!L22</f>
        <v>3</v>
      </c>
      <c r="M25" s="147"/>
      <c r="N25" s="158"/>
    </row>
    <row r="26" spans="1:20" ht="20" customHeight="1" thickBot="1">
      <c r="A26" s="465"/>
      <c r="B26" s="401"/>
      <c r="C26" s="402"/>
      <c r="D26" s="378" t="str">
        <f>'Objectives Setting'!D23</f>
        <v>Accountability</v>
      </c>
      <c r="E26" s="379"/>
      <c r="F26" s="379"/>
      <c r="G26" s="380"/>
      <c r="H26" s="410"/>
      <c r="I26" s="378" t="str">
        <f>'Objectives Setting'!K23</f>
        <v>تحمل المسؤولية</v>
      </c>
      <c r="J26" s="380"/>
      <c r="K26" s="226"/>
      <c r="L26" s="67">
        <f>'Objectives Setting'!L23</f>
        <v>3</v>
      </c>
      <c r="M26" s="147"/>
      <c r="N26" s="158"/>
    </row>
    <row r="27" spans="1:20" ht="20" customHeight="1">
      <c r="A27" s="464">
        <v>3</v>
      </c>
      <c r="B27" s="403">
        <f>'Objectives Setting'!AS36</f>
        <v>0</v>
      </c>
      <c r="C27" s="404"/>
      <c r="D27" s="397" t="str">
        <f>'Objectives Setting'!D24</f>
        <v>Respect</v>
      </c>
      <c r="E27" s="411"/>
      <c r="F27" s="411"/>
      <c r="G27" s="398"/>
      <c r="H27" s="407">
        <f>'Objectives Setting'!AU39</f>
        <v>0</v>
      </c>
      <c r="I27" s="397" t="str">
        <f>'Objectives Setting'!K24</f>
        <v>الاحترام</v>
      </c>
      <c r="J27" s="398"/>
      <c r="K27" s="224"/>
      <c r="L27" s="67">
        <f>'Objectives Setting'!L24</f>
        <v>3</v>
      </c>
      <c r="M27" s="147"/>
      <c r="N27" s="153"/>
    </row>
    <row r="28" spans="1:20" ht="20" customHeight="1" thickBot="1">
      <c r="A28" s="465">
        <v>6</v>
      </c>
      <c r="B28" s="405"/>
      <c r="C28" s="406"/>
      <c r="D28" s="397" t="str">
        <f>'Objectives Setting'!D25</f>
        <v>Learner Mindset</v>
      </c>
      <c r="E28" s="411"/>
      <c r="F28" s="411"/>
      <c r="G28" s="398"/>
      <c r="H28" s="408"/>
      <c r="I28" s="397" t="str">
        <f>'Objectives Setting'!K25</f>
        <v>عقلية التعلم</v>
      </c>
      <c r="J28" s="398"/>
      <c r="K28" s="226"/>
      <c r="L28" s="67">
        <f>'Objectives Setting'!L25</f>
        <v>3</v>
      </c>
      <c r="M28" s="147"/>
      <c r="N28" s="153"/>
    </row>
    <row r="29" spans="1:20" ht="36" customHeight="1" thickBot="1">
      <c r="A29" s="191"/>
      <c r="B29" s="428" t="s">
        <v>168</v>
      </c>
      <c r="C29" s="429"/>
      <c r="D29" s="429"/>
      <c r="E29" s="429"/>
      <c r="F29" s="429"/>
      <c r="G29" s="430"/>
      <c r="H29" s="433" t="s">
        <v>73</v>
      </c>
      <c r="I29" s="434"/>
      <c r="J29" s="434"/>
      <c r="K29" s="435"/>
      <c r="L29" s="188" t="s">
        <v>14</v>
      </c>
      <c r="M29" s="189" t="s">
        <v>13</v>
      </c>
      <c r="N29" s="190" t="s">
        <v>179</v>
      </c>
    </row>
    <row r="30" spans="1:20" s="45" customFormat="1" ht="24.75" customHeight="1" thickBot="1">
      <c r="A30" s="180">
        <v>4</v>
      </c>
      <c r="B30" s="427">
        <f>'Objectives Setting'!AS38</f>
        <v>0</v>
      </c>
      <c r="C30" s="375"/>
      <c r="D30" s="375"/>
      <c r="E30" s="375"/>
      <c r="F30" s="375"/>
      <c r="G30" s="375"/>
      <c r="H30" s="427">
        <f>'Objectives Setting'!AU41</f>
        <v>0</v>
      </c>
      <c r="I30" s="375"/>
      <c r="J30" s="375"/>
      <c r="K30" s="375"/>
      <c r="L30" s="67">
        <f>'Objectives Setting'!M27</f>
        <v>3</v>
      </c>
      <c r="M30" s="154"/>
      <c r="N30" s="161"/>
    </row>
    <row r="31" spans="1:20" ht="15.75" customHeight="1">
      <c r="A31" s="192">
        <v>5</v>
      </c>
      <c r="B31" s="427">
        <f>'Objectives Setting'!AS39</f>
        <v>0</v>
      </c>
      <c r="C31" s="375"/>
      <c r="D31" s="375"/>
      <c r="E31" s="375"/>
      <c r="F31" s="375"/>
      <c r="G31" s="375"/>
      <c r="H31" s="427">
        <f>'Objectives Setting'!AU42</f>
        <v>0</v>
      </c>
      <c r="I31" s="375"/>
      <c r="J31" s="375"/>
      <c r="K31" s="375"/>
      <c r="L31" s="67">
        <f>'Objectives Setting'!M28</f>
        <v>3</v>
      </c>
      <c r="M31" s="147"/>
      <c r="N31" s="158"/>
    </row>
    <row r="32" spans="1:20" ht="18" customHeight="1">
      <c r="A32" s="180">
        <v>6</v>
      </c>
      <c r="B32" s="427">
        <f>'Objectives Setting'!AS40</f>
        <v>0</v>
      </c>
      <c r="C32" s="375"/>
      <c r="D32" s="375"/>
      <c r="E32" s="375"/>
      <c r="F32" s="375"/>
      <c r="G32" s="375"/>
      <c r="H32" s="427">
        <f>'Objectives Setting'!AU43</f>
        <v>0</v>
      </c>
      <c r="I32" s="375"/>
      <c r="J32" s="375"/>
      <c r="K32" s="375"/>
      <c r="L32" s="67">
        <f>'Objectives Setting'!M29</f>
        <v>3</v>
      </c>
      <c r="M32" s="147"/>
      <c r="N32" s="158"/>
    </row>
    <row r="33" spans="1:14" ht="16" thickBot="1">
      <c r="A33" s="431" t="s">
        <v>37</v>
      </c>
      <c r="B33" s="431"/>
      <c r="C33" s="431"/>
      <c r="D33" s="431"/>
      <c r="E33" s="431"/>
      <c r="F33" s="431"/>
      <c r="G33" s="431"/>
      <c r="H33" s="431"/>
      <c r="I33" s="431"/>
      <c r="J33" s="431"/>
      <c r="K33" s="431"/>
      <c r="L33" s="432"/>
      <c r="M33" s="207" t="e">
        <f>AVERAGE(M23:M28,M30:M32)</f>
        <v>#DIV/0!</v>
      </c>
      <c r="N33" s="440"/>
    </row>
    <row r="34" spans="1:14" ht="15.75" customHeight="1" thickBot="1">
      <c r="A34" s="431" t="s">
        <v>61</v>
      </c>
      <c r="B34" s="431"/>
      <c r="C34" s="431"/>
      <c r="D34" s="431"/>
      <c r="E34" s="431"/>
      <c r="F34" s="431"/>
      <c r="G34" s="431"/>
      <c r="H34" s="431"/>
      <c r="I34" s="431"/>
      <c r="J34" s="431"/>
      <c r="K34" s="431"/>
      <c r="L34" s="432"/>
      <c r="M34" s="208" t="e">
        <f>M15+(IF(AND(M33&gt;=1,M33&lt;=1.9),"-10%",IF(AND(M33&gt;=2,M33&lt;=2.9),"-5%",IF(AND(M33&gt;=3,M33&lt;=3.9),"0%",IF(AND(M33&gt;=4,M33&lt;=4.9),"5%",IF(AND(M33&gt;=5,M33&lt;=5.9),"10%"))))))</f>
        <v>#DIV/0!</v>
      </c>
      <c r="N34" s="361"/>
    </row>
    <row r="35" spans="1:14" ht="15.75" customHeight="1" thickBot="1">
      <c r="A35" s="205"/>
      <c r="B35" s="205"/>
      <c r="C35" s="210"/>
      <c r="D35" s="441" t="s">
        <v>234</v>
      </c>
      <c r="E35" s="441"/>
      <c r="F35" s="441"/>
      <c r="G35" s="441"/>
      <c r="H35" s="441"/>
      <c r="I35" s="441"/>
      <c r="J35" s="441"/>
      <c r="K35" s="441"/>
      <c r="L35" s="442"/>
      <c r="M35" s="219" t="e">
        <f>VLOOKUP(M33,'Sucession Plan Score'!L:M,2)</f>
        <v>#DIV/0!</v>
      </c>
      <c r="N35" s="200"/>
    </row>
    <row r="36" spans="1:14" ht="15.75" customHeight="1" thickBot="1">
      <c r="A36" s="205"/>
      <c r="B36" s="205"/>
      <c r="C36" s="439" t="s">
        <v>230</v>
      </c>
      <c r="D36" s="439"/>
      <c r="E36" s="439"/>
      <c r="F36" s="439"/>
      <c r="G36" s="439"/>
      <c r="H36" s="439"/>
      <c r="I36" s="439"/>
      <c r="J36" s="439"/>
      <c r="K36" s="439"/>
      <c r="L36" s="439"/>
      <c r="M36" s="219" t="e">
        <f>VLOOKUP(M35,'Sucession Plan Score'!R:S,2,0)</f>
        <v>#DIV/0!</v>
      </c>
      <c r="N36" s="200"/>
    </row>
    <row r="37" spans="1:14" ht="22.5" customHeight="1" thickBot="1">
      <c r="A37" s="436" t="s">
        <v>184</v>
      </c>
      <c r="B37" s="437"/>
      <c r="C37" s="437"/>
      <c r="D37" s="437"/>
      <c r="E37" s="437"/>
      <c r="F37" s="437"/>
      <c r="G37" s="437"/>
      <c r="H37" s="437"/>
      <c r="I37" s="437"/>
      <c r="J37" s="437"/>
      <c r="K37" s="437"/>
      <c r="L37" s="437"/>
      <c r="M37" s="437"/>
      <c r="N37" s="438"/>
    </row>
    <row r="38" spans="1:14" ht="23.25" customHeight="1">
      <c r="A38" s="302" t="s">
        <v>23</v>
      </c>
      <c r="B38" s="303"/>
      <c r="C38" s="303"/>
      <c r="D38" s="303"/>
      <c r="E38" s="303"/>
      <c r="F38" s="303"/>
      <c r="G38" s="303"/>
      <c r="H38" s="303"/>
      <c r="I38" s="304"/>
      <c r="J38" s="425" t="s">
        <v>1</v>
      </c>
      <c r="K38" s="303"/>
      <c r="L38" s="303"/>
      <c r="M38" s="303"/>
      <c r="N38" s="426"/>
    </row>
    <row r="39" spans="1:14" ht="23.25" customHeight="1">
      <c r="A39" s="305"/>
      <c r="B39" s="306"/>
      <c r="C39" s="306"/>
      <c r="D39" s="306"/>
      <c r="E39" s="306"/>
      <c r="F39" s="306"/>
      <c r="G39" s="306"/>
      <c r="H39" s="306"/>
      <c r="I39" s="306"/>
      <c r="J39" s="50"/>
      <c r="K39" s="50"/>
      <c r="L39" s="50"/>
      <c r="M39" s="50"/>
      <c r="N39" s="155"/>
    </row>
    <row r="40" spans="1:14" ht="23.25" customHeight="1">
      <c r="A40" s="305"/>
      <c r="B40" s="306"/>
      <c r="C40" s="306"/>
      <c r="D40" s="306"/>
      <c r="E40" s="306"/>
      <c r="F40" s="306"/>
      <c r="G40" s="306"/>
      <c r="H40" s="306"/>
      <c r="I40" s="306"/>
      <c r="J40" s="50"/>
      <c r="K40" s="50"/>
      <c r="L40" s="50"/>
      <c r="M40" s="50"/>
      <c r="N40" s="155"/>
    </row>
    <row r="41" spans="1:14">
      <c r="A41" s="305"/>
      <c r="B41" s="306"/>
      <c r="C41" s="306"/>
      <c r="D41" s="306"/>
      <c r="E41" s="306"/>
      <c r="F41" s="306"/>
      <c r="G41" s="306"/>
      <c r="H41" s="306"/>
      <c r="I41" s="306"/>
      <c r="J41" s="50"/>
      <c r="K41" s="50"/>
      <c r="L41" s="50"/>
      <c r="M41" s="50"/>
      <c r="N41" s="155"/>
    </row>
    <row r="42" spans="1:14" ht="26.25" customHeight="1" thickBot="1">
      <c r="A42" s="307"/>
      <c r="B42" s="308"/>
      <c r="C42" s="308"/>
      <c r="D42" s="308"/>
      <c r="E42" s="308"/>
      <c r="F42" s="308"/>
      <c r="G42" s="308"/>
      <c r="H42" s="308"/>
      <c r="I42" s="308"/>
      <c r="J42" s="156"/>
      <c r="K42" s="156"/>
      <c r="L42" s="156"/>
      <c r="M42" s="156"/>
      <c r="N42" s="157"/>
    </row>
    <row r="43" spans="1:14" ht="25.5" customHeight="1">
      <c r="A43" s="59"/>
      <c r="H43" s="35"/>
      <c r="I43" s="37"/>
    </row>
    <row r="44" spans="1:14" ht="25.5" customHeight="1">
      <c r="A44" s="58"/>
      <c r="H44" s="18"/>
      <c r="I44" s="34"/>
      <c r="N44" s="145"/>
    </row>
    <row r="45" spans="1:14" ht="15" customHeight="1">
      <c r="A45" s="58"/>
      <c r="H45" s="18"/>
      <c r="I45" s="34"/>
    </row>
    <row r="46" spans="1:14" ht="17.25" customHeight="1">
      <c r="A46" s="99"/>
      <c r="H46" s="99"/>
      <c r="I46" s="38"/>
    </row>
    <row r="47" spans="1:14">
      <c r="A47" s="99"/>
      <c r="H47" s="99"/>
      <c r="I47" s="34"/>
    </row>
  </sheetData>
  <sheetProtection selectLockedCells="1"/>
  <mergeCells count="69">
    <mergeCell ref="D35:L35"/>
    <mergeCell ref="N15:N21"/>
    <mergeCell ref="J20:M20"/>
    <mergeCell ref="E20:G20"/>
    <mergeCell ref="J19:M19"/>
    <mergeCell ref="A15:L15"/>
    <mergeCell ref="E19:G19"/>
    <mergeCell ref="A19:C20"/>
    <mergeCell ref="D25:G25"/>
    <mergeCell ref="D26:G26"/>
    <mergeCell ref="D27:G27"/>
    <mergeCell ref="B23:C24"/>
    <mergeCell ref="A23:A24"/>
    <mergeCell ref="A25:A26"/>
    <mergeCell ref="A27:A28"/>
    <mergeCell ref="D28:G28"/>
    <mergeCell ref="A39:I42"/>
    <mergeCell ref="A38:I38"/>
    <mergeCell ref="J38:N38"/>
    <mergeCell ref="H31:K31"/>
    <mergeCell ref="B29:G29"/>
    <mergeCell ref="B31:G31"/>
    <mergeCell ref="A34:L34"/>
    <mergeCell ref="H32:K32"/>
    <mergeCell ref="A33:L33"/>
    <mergeCell ref="H30:K30"/>
    <mergeCell ref="H29:K29"/>
    <mergeCell ref="B32:G32"/>
    <mergeCell ref="A37:N37"/>
    <mergeCell ref="B30:G30"/>
    <mergeCell ref="C36:L36"/>
    <mergeCell ref="N33:N34"/>
    <mergeCell ref="A1:N1"/>
    <mergeCell ref="A2:N5"/>
    <mergeCell ref="E6:I6"/>
    <mergeCell ref="B14:D14"/>
    <mergeCell ref="E13:I13"/>
    <mergeCell ref="E14:I14"/>
    <mergeCell ref="B6:D6"/>
    <mergeCell ref="B10:D10"/>
    <mergeCell ref="B13:D13"/>
    <mergeCell ref="B12:D12"/>
    <mergeCell ref="E8:I8"/>
    <mergeCell ref="E9:I9"/>
    <mergeCell ref="E10:I10"/>
    <mergeCell ref="B7:D7"/>
    <mergeCell ref="E7:I7"/>
    <mergeCell ref="E12:I12"/>
    <mergeCell ref="B8:D8"/>
    <mergeCell ref="A17:L17"/>
    <mergeCell ref="H22:K22"/>
    <mergeCell ref="B22:G22"/>
    <mergeCell ref="B9:D9"/>
    <mergeCell ref="B11:D11"/>
    <mergeCell ref="E11:I11"/>
    <mergeCell ref="D16:L16"/>
    <mergeCell ref="I28:J28"/>
    <mergeCell ref="B25:C26"/>
    <mergeCell ref="B27:C28"/>
    <mergeCell ref="H23:H24"/>
    <mergeCell ref="H25:H26"/>
    <mergeCell ref="H27:H28"/>
    <mergeCell ref="D23:G23"/>
    <mergeCell ref="D24:G24"/>
    <mergeCell ref="I23:J23"/>
    <mergeCell ref="I24:J24"/>
    <mergeCell ref="I25:J25"/>
    <mergeCell ref="I26:J26"/>
    <mergeCell ref="I27:J27"/>
  </mergeCells>
  <phoneticPr fontId="27" type="noConversion"/>
  <conditionalFormatting sqref="A44:A45">
    <cfRule type="cellIs" dxfId="9" priority="20" stopIfTrue="1" operator="equal">
      <formula>"Not Required"</formula>
    </cfRule>
  </conditionalFormatting>
  <conditionalFormatting sqref="B7:E14">
    <cfRule type="cellIs" dxfId="8" priority="18" stopIfTrue="1" operator="equal">
      <formula>0</formula>
    </cfRule>
  </conditionalFormatting>
  <conditionalFormatting sqref="H23:I23 K23:L23 D23:D28 I24:I28 L24:L28 D6:L22">
    <cfRule type="cellIs" dxfId="7" priority="3" operator="equal">
      <formula>$M$36</formula>
    </cfRule>
    <cfRule type="cellIs" dxfId="6" priority="7" operator="equal">
      <formula>$M$36</formula>
    </cfRule>
  </conditionalFormatting>
  <conditionalFormatting sqref="K24:K25 H25">
    <cfRule type="cellIs" dxfId="5" priority="1" operator="equal">
      <formula>$M$36</formula>
    </cfRule>
    <cfRule type="cellIs" dxfId="4" priority="2" operator="equal">
      <formula>$M$36</formula>
    </cfRule>
  </conditionalFormatting>
  <conditionalFormatting sqref="S6:AA24">
    <cfRule type="cellIs" dxfId="3" priority="5" operator="equal">
      <formula>$M$36</formula>
    </cfRule>
  </conditionalFormatting>
  <printOptions horizontalCentered="1" verticalCentered="1"/>
  <pageMargins left="0" right="0.25" top="0.56000000000000005" bottom="0.59" header="0.2" footer="0.34"/>
  <pageSetup paperSize="9" scale="4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B1E14-98B0-4BE0-B50E-97D151FE1B18}">
  <sheetPr>
    <tabColor indexed="30"/>
  </sheetPr>
  <dimension ref="A1:Q51"/>
  <sheetViews>
    <sheetView zoomScale="147" workbookViewId="0">
      <selection activeCell="F2" sqref="F2:F10"/>
    </sheetView>
  </sheetViews>
  <sheetFormatPr baseColWidth="10" defaultColWidth="8.83203125" defaultRowHeight="13"/>
  <cols>
    <col min="3" max="3" width="8.33203125" bestFit="1" customWidth="1"/>
    <col min="4" max="4" width="11.1640625" bestFit="1" customWidth="1"/>
    <col min="5" max="5" width="11.1640625" customWidth="1"/>
    <col min="6" max="6" width="16.1640625" bestFit="1" customWidth="1"/>
    <col min="10" max="10" width="8.6640625" style="204"/>
    <col min="19" max="19" width="16" bestFit="1" customWidth="1"/>
  </cols>
  <sheetData>
    <row r="1" spans="1:17">
      <c r="D1" s="201" t="s">
        <v>193</v>
      </c>
      <c r="E1" s="201" t="s">
        <v>192</v>
      </c>
      <c r="F1" s="201" t="s">
        <v>194</v>
      </c>
      <c r="I1" s="212" t="s">
        <v>12</v>
      </c>
      <c r="J1" s="215" t="s">
        <v>232</v>
      </c>
      <c r="L1" s="213" t="s">
        <v>12</v>
      </c>
      <c r="M1" s="213" t="s">
        <v>232</v>
      </c>
      <c r="Q1" t="e" cm="1">
        <f t="array" ref="Q1">_xlfn._xlws.FILTER(D:F,D:D='Performance Review'!M16,0)</f>
        <v>#N/A</v>
      </c>
    </row>
    <row r="2" spans="1:17">
      <c r="D2" t="s">
        <v>196</v>
      </c>
      <c r="E2" t="s">
        <v>196</v>
      </c>
      <c r="F2" s="202" t="s">
        <v>197</v>
      </c>
      <c r="I2" s="214">
        <v>0.6</v>
      </c>
      <c r="J2" s="204" t="s">
        <v>195</v>
      </c>
      <c r="L2">
        <v>2</v>
      </c>
      <c r="M2" t="s">
        <v>195</v>
      </c>
    </row>
    <row r="3" spans="1:17">
      <c r="D3" t="s">
        <v>198</v>
      </c>
      <c r="E3" t="s">
        <v>196</v>
      </c>
      <c r="F3" s="202" t="s">
        <v>199</v>
      </c>
      <c r="I3" s="214">
        <v>0.61</v>
      </c>
      <c r="J3" s="204" t="s">
        <v>195</v>
      </c>
      <c r="L3">
        <v>2.1</v>
      </c>
      <c r="M3" t="s">
        <v>195</v>
      </c>
    </row>
    <row r="4" spans="1:17">
      <c r="A4" s="203"/>
      <c r="B4" s="203"/>
      <c r="D4" t="s">
        <v>195</v>
      </c>
      <c r="E4" t="s">
        <v>196</v>
      </c>
      <c r="F4" s="218" t="s">
        <v>237</v>
      </c>
      <c r="I4" s="214">
        <v>0.62</v>
      </c>
      <c r="J4" s="204" t="s">
        <v>195</v>
      </c>
      <c r="L4">
        <v>2.2000000000000002</v>
      </c>
      <c r="M4" t="s">
        <v>195</v>
      </c>
      <c r="N4" s="203"/>
    </row>
    <row r="5" spans="1:17">
      <c r="D5" t="s">
        <v>196</v>
      </c>
      <c r="E5" t="s">
        <v>198</v>
      </c>
      <c r="F5" s="202" t="s">
        <v>200</v>
      </c>
      <c r="I5" s="214">
        <v>0.63</v>
      </c>
      <c r="J5" s="204" t="s">
        <v>195</v>
      </c>
      <c r="L5">
        <v>2.2999999999999998</v>
      </c>
      <c r="M5" t="s">
        <v>195</v>
      </c>
    </row>
    <row r="6" spans="1:17">
      <c r="D6" t="s">
        <v>198</v>
      </c>
      <c r="E6" t="s">
        <v>198</v>
      </c>
      <c r="F6" s="202" t="s">
        <v>201</v>
      </c>
      <c r="I6" s="214">
        <v>0.64</v>
      </c>
      <c r="J6" s="204" t="s">
        <v>195</v>
      </c>
      <c r="L6">
        <v>2.4</v>
      </c>
      <c r="M6" t="s">
        <v>195</v>
      </c>
    </row>
    <row r="7" spans="1:17">
      <c r="A7" s="204"/>
      <c r="D7" t="s">
        <v>195</v>
      </c>
      <c r="E7" t="s">
        <v>198</v>
      </c>
      <c r="F7" s="218" t="s">
        <v>238</v>
      </c>
      <c r="I7" s="214">
        <v>0.65</v>
      </c>
      <c r="J7" s="204" t="s">
        <v>195</v>
      </c>
      <c r="L7">
        <v>2.5</v>
      </c>
      <c r="M7" t="s">
        <v>195</v>
      </c>
      <c r="N7" s="204"/>
    </row>
    <row r="8" spans="1:17">
      <c r="D8" t="s">
        <v>196</v>
      </c>
      <c r="E8" t="s">
        <v>195</v>
      </c>
      <c r="F8" s="202" t="s">
        <v>202</v>
      </c>
      <c r="I8" s="214">
        <v>0.66</v>
      </c>
      <c r="J8" s="204" t="s">
        <v>195</v>
      </c>
      <c r="L8">
        <v>2.6</v>
      </c>
      <c r="M8" t="s">
        <v>195</v>
      </c>
    </row>
    <row r="9" spans="1:17">
      <c r="D9" t="s">
        <v>198</v>
      </c>
      <c r="E9" t="s">
        <v>195</v>
      </c>
      <c r="F9" s="202" t="s">
        <v>203</v>
      </c>
      <c r="I9" s="214">
        <v>0.67</v>
      </c>
      <c r="J9" s="204" t="s">
        <v>195</v>
      </c>
      <c r="L9">
        <v>2.7</v>
      </c>
      <c r="M9" t="s">
        <v>195</v>
      </c>
    </row>
    <row r="10" spans="1:17">
      <c r="D10" t="s">
        <v>195</v>
      </c>
      <c r="E10" t="s">
        <v>195</v>
      </c>
      <c r="F10" s="218" t="s">
        <v>239</v>
      </c>
      <c r="I10" s="214">
        <v>0.68</v>
      </c>
      <c r="J10" s="204" t="s">
        <v>195</v>
      </c>
      <c r="L10">
        <v>2.8</v>
      </c>
      <c r="M10" t="s">
        <v>195</v>
      </c>
    </row>
    <row r="11" spans="1:17">
      <c r="I11" s="214">
        <v>0.69</v>
      </c>
      <c r="J11" s="204" t="s">
        <v>195</v>
      </c>
      <c r="L11">
        <v>2.9</v>
      </c>
      <c r="M11" t="s">
        <v>195</v>
      </c>
    </row>
    <row r="12" spans="1:17">
      <c r="I12" s="214">
        <v>0.7</v>
      </c>
      <c r="J12" s="204" t="s">
        <v>195</v>
      </c>
      <c r="L12">
        <v>3</v>
      </c>
      <c r="M12" t="s">
        <v>198</v>
      </c>
    </row>
    <row r="13" spans="1:17">
      <c r="I13" s="214">
        <v>0.71</v>
      </c>
      <c r="J13" s="204" t="s">
        <v>195</v>
      </c>
      <c r="L13">
        <v>3.1</v>
      </c>
      <c r="M13" t="s">
        <v>198</v>
      </c>
    </row>
    <row r="14" spans="1:17">
      <c r="I14" s="214">
        <v>0.72</v>
      </c>
      <c r="J14" s="204" t="s">
        <v>195</v>
      </c>
      <c r="L14">
        <v>3.2</v>
      </c>
      <c r="M14" t="s">
        <v>198</v>
      </c>
    </row>
    <row r="15" spans="1:17">
      <c r="I15" s="214">
        <v>0.73</v>
      </c>
      <c r="J15" s="204" t="s">
        <v>195</v>
      </c>
      <c r="L15">
        <v>3.3</v>
      </c>
      <c r="M15" t="s">
        <v>198</v>
      </c>
    </row>
    <row r="16" spans="1:17">
      <c r="I16" s="214">
        <v>0.74</v>
      </c>
      <c r="J16" s="204" t="s">
        <v>195</v>
      </c>
      <c r="L16">
        <v>3.4</v>
      </c>
      <c r="M16" t="s">
        <v>198</v>
      </c>
    </row>
    <row r="17" spans="9:13">
      <c r="I17" s="214">
        <v>0.75</v>
      </c>
      <c r="J17" s="204" t="s">
        <v>195</v>
      </c>
      <c r="L17">
        <v>3.5</v>
      </c>
      <c r="M17" t="s">
        <v>198</v>
      </c>
    </row>
    <row r="18" spans="9:13">
      <c r="I18" s="214">
        <v>0.76</v>
      </c>
      <c r="J18" s="204" t="s">
        <v>195</v>
      </c>
      <c r="L18">
        <v>3.6</v>
      </c>
      <c r="M18" t="s">
        <v>198</v>
      </c>
    </row>
    <row r="19" spans="9:13">
      <c r="I19" s="214">
        <v>0.77</v>
      </c>
      <c r="J19" s="204" t="s">
        <v>195</v>
      </c>
      <c r="L19">
        <v>3.7</v>
      </c>
      <c r="M19" t="s">
        <v>198</v>
      </c>
    </row>
    <row r="20" spans="9:13">
      <c r="I20" s="214">
        <v>0.78</v>
      </c>
      <c r="J20" s="204" t="s">
        <v>195</v>
      </c>
      <c r="L20">
        <v>3.8</v>
      </c>
      <c r="M20" t="s">
        <v>198</v>
      </c>
    </row>
    <row r="21" spans="9:13">
      <c r="I21" s="214">
        <v>0.79</v>
      </c>
      <c r="J21" s="204" t="s">
        <v>195</v>
      </c>
      <c r="L21">
        <v>3.9</v>
      </c>
      <c r="M21" t="s">
        <v>198</v>
      </c>
    </row>
    <row r="22" spans="9:13">
      <c r="I22" s="214">
        <v>0.8</v>
      </c>
      <c r="J22" s="204" t="s">
        <v>198</v>
      </c>
      <c r="L22">
        <v>4</v>
      </c>
      <c r="M22" t="s">
        <v>196</v>
      </c>
    </row>
    <row r="23" spans="9:13">
      <c r="I23" s="214">
        <v>0.81</v>
      </c>
      <c r="J23" s="204" t="s">
        <v>198</v>
      </c>
      <c r="L23">
        <v>4.0999999999999996</v>
      </c>
      <c r="M23" t="s">
        <v>196</v>
      </c>
    </row>
    <row r="24" spans="9:13">
      <c r="I24" s="214">
        <v>0.82</v>
      </c>
      <c r="J24" s="204" t="s">
        <v>198</v>
      </c>
      <c r="L24">
        <v>4.2</v>
      </c>
      <c r="M24" t="s">
        <v>196</v>
      </c>
    </row>
    <row r="25" spans="9:13">
      <c r="I25" s="214">
        <v>0.83</v>
      </c>
      <c r="J25" s="204" t="s">
        <v>198</v>
      </c>
      <c r="L25">
        <v>4.3</v>
      </c>
      <c r="M25" t="s">
        <v>196</v>
      </c>
    </row>
    <row r="26" spans="9:13">
      <c r="I26" s="214">
        <v>0.84</v>
      </c>
      <c r="J26" s="204" t="s">
        <v>198</v>
      </c>
      <c r="L26">
        <v>4.4000000000000004</v>
      </c>
      <c r="M26" t="s">
        <v>196</v>
      </c>
    </row>
    <row r="27" spans="9:13">
      <c r="I27" s="214">
        <v>0.85</v>
      </c>
      <c r="J27" s="204" t="s">
        <v>198</v>
      </c>
      <c r="L27">
        <v>4.5</v>
      </c>
      <c r="M27" t="s">
        <v>196</v>
      </c>
    </row>
    <row r="28" spans="9:13">
      <c r="I28" s="214">
        <v>0.86</v>
      </c>
      <c r="J28" s="204" t="s">
        <v>198</v>
      </c>
      <c r="L28">
        <v>4.5999999999999996</v>
      </c>
      <c r="M28" t="s">
        <v>196</v>
      </c>
    </row>
    <row r="29" spans="9:13">
      <c r="I29" s="214">
        <v>0.87</v>
      </c>
      <c r="J29" s="204" t="s">
        <v>198</v>
      </c>
      <c r="L29">
        <v>4.7</v>
      </c>
      <c r="M29" t="s">
        <v>196</v>
      </c>
    </row>
    <row r="30" spans="9:13">
      <c r="I30" s="214">
        <v>0.88</v>
      </c>
      <c r="J30" s="204" t="s">
        <v>198</v>
      </c>
      <c r="L30">
        <v>4.8</v>
      </c>
      <c r="M30" t="s">
        <v>196</v>
      </c>
    </row>
    <row r="31" spans="9:13">
      <c r="I31" s="214">
        <v>0.89</v>
      </c>
      <c r="J31" s="204" t="s">
        <v>198</v>
      </c>
      <c r="L31">
        <v>4.9000000000000004</v>
      </c>
      <c r="M31" t="s">
        <v>196</v>
      </c>
    </row>
    <row r="32" spans="9:13">
      <c r="I32" s="214">
        <v>0.9</v>
      </c>
      <c r="J32" s="216" t="s">
        <v>196</v>
      </c>
      <c r="L32">
        <v>5</v>
      </c>
      <c r="M32" t="s">
        <v>196</v>
      </c>
    </row>
    <row r="33" spans="9:10">
      <c r="I33" s="214">
        <v>0.91</v>
      </c>
      <c r="J33" s="216" t="s">
        <v>196</v>
      </c>
    </row>
    <row r="34" spans="9:10">
      <c r="I34" s="214">
        <v>0.92</v>
      </c>
      <c r="J34" s="216" t="s">
        <v>196</v>
      </c>
    </row>
    <row r="35" spans="9:10">
      <c r="I35" s="214">
        <v>0.93</v>
      </c>
      <c r="J35" s="216" t="s">
        <v>196</v>
      </c>
    </row>
    <row r="36" spans="9:10">
      <c r="I36" s="214">
        <v>0.94</v>
      </c>
      <c r="J36" s="216" t="s">
        <v>196</v>
      </c>
    </row>
    <row r="37" spans="9:10">
      <c r="I37" s="214">
        <v>0.95</v>
      </c>
      <c r="J37" s="216" t="s">
        <v>196</v>
      </c>
    </row>
    <row r="38" spans="9:10">
      <c r="I38" s="214">
        <v>0.96</v>
      </c>
      <c r="J38" s="216" t="s">
        <v>196</v>
      </c>
    </row>
    <row r="39" spans="9:10">
      <c r="I39" s="214">
        <v>0.97</v>
      </c>
      <c r="J39" s="216" t="s">
        <v>196</v>
      </c>
    </row>
    <row r="40" spans="9:10">
      <c r="I40" s="214">
        <v>0.98</v>
      </c>
      <c r="J40" s="216" t="s">
        <v>196</v>
      </c>
    </row>
    <row r="41" spans="9:10">
      <c r="I41" s="214">
        <v>0.99</v>
      </c>
      <c r="J41" s="216" t="s">
        <v>196</v>
      </c>
    </row>
    <row r="42" spans="9:10">
      <c r="I42" s="214">
        <v>1</v>
      </c>
      <c r="J42" s="216" t="s">
        <v>196</v>
      </c>
    </row>
    <row r="43" spans="9:10">
      <c r="I43" s="214">
        <v>1.01</v>
      </c>
      <c r="J43" s="216" t="s">
        <v>196</v>
      </c>
    </row>
    <row r="44" spans="9:10">
      <c r="I44" s="214">
        <v>1.02</v>
      </c>
      <c r="J44" s="216" t="s">
        <v>196</v>
      </c>
    </row>
    <row r="45" spans="9:10">
      <c r="I45" s="214">
        <v>1.03</v>
      </c>
      <c r="J45" s="216" t="s">
        <v>196</v>
      </c>
    </row>
    <row r="46" spans="9:10">
      <c r="I46" s="214">
        <v>1.04</v>
      </c>
      <c r="J46" s="216" t="s">
        <v>196</v>
      </c>
    </row>
    <row r="47" spans="9:10">
      <c r="I47" s="214">
        <v>1.05</v>
      </c>
      <c r="J47" s="216" t="s">
        <v>196</v>
      </c>
    </row>
    <row r="48" spans="9:10">
      <c r="I48" s="214">
        <v>1.06</v>
      </c>
      <c r="J48" s="216" t="s">
        <v>196</v>
      </c>
    </row>
    <row r="49" spans="9:10">
      <c r="I49" s="214">
        <v>1.07</v>
      </c>
      <c r="J49" s="216" t="s">
        <v>196</v>
      </c>
    </row>
    <row r="50" spans="9:10">
      <c r="I50" s="214">
        <v>1.08</v>
      </c>
      <c r="J50" s="216" t="s">
        <v>196</v>
      </c>
    </row>
    <row r="51" spans="9:10">
      <c r="I51" s="214">
        <v>1.0900000000000001</v>
      </c>
      <c r="J51" s="216" t="s">
        <v>196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0"/>
  </sheetPr>
  <dimension ref="A1:E30"/>
  <sheetViews>
    <sheetView topLeftCell="A8" zoomScale="81" workbookViewId="0">
      <selection activeCell="D15" sqref="D15"/>
    </sheetView>
  </sheetViews>
  <sheetFormatPr baseColWidth="10" defaultColWidth="58.6640625" defaultRowHeight="31" customHeight="1"/>
  <cols>
    <col min="1" max="1" width="58.6640625" style="100"/>
    <col min="2" max="2" width="46" style="106" bestFit="1" customWidth="1"/>
    <col min="3" max="3" width="25.5" style="107" customWidth="1"/>
    <col min="4" max="4" width="61.83203125" style="108" customWidth="1"/>
    <col min="5" max="253" width="58.6640625" style="100"/>
    <col min="254" max="254" width="46" style="100" bestFit="1" customWidth="1"/>
    <col min="255" max="255" width="25.5" style="100" customWidth="1"/>
    <col min="256" max="256" width="61.83203125" style="100" customWidth="1"/>
    <col min="257" max="509" width="58.6640625" style="100"/>
    <col min="510" max="510" width="46" style="100" bestFit="1" customWidth="1"/>
    <col min="511" max="511" width="25.5" style="100" customWidth="1"/>
    <col min="512" max="512" width="61.83203125" style="100" customWidth="1"/>
    <col min="513" max="765" width="58.6640625" style="100"/>
    <col min="766" max="766" width="46" style="100" bestFit="1" customWidth="1"/>
    <col min="767" max="767" width="25.5" style="100" customWidth="1"/>
    <col min="768" max="768" width="61.83203125" style="100" customWidth="1"/>
    <col min="769" max="1021" width="58.6640625" style="100"/>
    <col min="1022" max="1022" width="46" style="100" bestFit="1" customWidth="1"/>
    <col min="1023" max="1023" width="25.5" style="100" customWidth="1"/>
    <col min="1024" max="1024" width="61.83203125" style="100" customWidth="1"/>
    <col min="1025" max="1277" width="58.6640625" style="100"/>
    <col min="1278" max="1278" width="46" style="100" bestFit="1" customWidth="1"/>
    <col min="1279" max="1279" width="25.5" style="100" customWidth="1"/>
    <col min="1280" max="1280" width="61.83203125" style="100" customWidth="1"/>
    <col min="1281" max="1533" width="58.6640625" style="100"/>
    <col min="1534" max="1534" width="46" style="100" bestFit="1" customWidth="1"/>
    <col min="1535" max="1535" width="25.5" style="100" customWidth="1"/>
    <col min="1536" max="1536" width="61.83203125" style="100" customWidth="1"/>
    <col min="1537" max="1789" width="58.6640625" style="100"/>
    <col min="1790" max="1790" width="46" style="100" bestFit="1" customWidth="1"/>
    <col min="1791" max="1791" width="25.5" style="100" customWidth="1"/>
    <col min="1792" max="1792" width="61.83203125" style="100" customWidth="1"/>
    <col min="1793" max="2045" width="58.6640625" style="100"/>
    <col min="2046" max="2046" width="46" style="100" bestFit="1" customWidth="1"/>
    <col min="2047" max="2047" width="25.5" style="100" customWidth="1"/>
    <col min="2048" max="2048" width="61.83203125" style="100" customWidth="1"/>
    <col min="2049" max="2301" width="58.6640625" style="100"/>
    <col min="2302" max="2302" width="46" style="100" bestFit="1" customWidth="1"/>
    <col min="2303" max="2303" width="25.5" style="100" customWidth="1"/>
    <col min="2304" max="2304" width="61.83203125" style="100" customWidth="1"/>
    <col min="2305" max="2557" width="58.6640625" style="100"/>
    <col min="2558" max="2558" width="46" style="100" bestFit="1" customWidth="1"/>
    <col min="2559" max="2559" width="25.5" style="100" customWidth="1"/>
    <col min="2560" max="2560" width="61.83203125" style="100" customWidth="1"/>
    <col min="2561" max="2813" width="58.6640625" style="100"/>
    <col min="2814" max="2814" width="46" style="100" bestFit="1" customWidth="1"/>
    <col min="2815" max="2815" width="25.5" style="100" customWidth="1"/>
    <col min="2816" max="2816" width="61.83203125" style="100" customWidth="1"/>
    <col min="2817" max="3069" width="58.6640625" style="100"/>
    <col min="3070" max="3070" width="46" style="100" bestFit="1" customWidth="1"/>
    <col min="3071" max="3071" width="25.5" style="100" customWidth="1"/>
    <col min="3072" max="3072" width="61.83203125" style="100" customWidth="1"/>
    <col min="3073" max="3325" width="58.6640625" style="100"/>
    <col min="3326" max="3326" width="46" style="100" bestFit="1" customWidth="1"/>
    <col min="3327" max="3327" width="25.5" style="100" customWidth="1"/>
    <col min="3328" max="3328" width="61.83203125" style="100" customWidth="1"/>
    <col min="3329" max="3581" width="58.6640625" style="100"/>
    <col min="3582" max="3582" width="46" style="100" bestFit="1" customWidth="1"/>
    <col min="3583" max="3583" width="25.5" style="100" customWidth="1"/>
    <col min="3584" max="3584" width="61.83203125" style="100" customWidth="1"/>
    <col min="3585" max="3837" width="58.6640625" style="100"/>
    <col min="3838" max="3838" width="46" style="100" bestFit="1" customWidth="1"/>
    <col min="3839" max="3839" width="25.5" style="100" customWidth="1"/>
    <col min="3840" max="3840" width="61.83203125" style="100" customWidth="1"/>
    <col min="3841" max="4093" width="58.6640625" style="100"/>
    <col min="4094" max="4094" width="46" style="100" bestFit="1" customWidth="1"/>
    <col min="4095" max="4095" width="25.5" style="100" customWidth="1"/>
    <col min="4096" max="4096" width="61.83203125" style="100" customWidth="1"/>
    <col min="4097" max="4349" width="58.6640625" style="100"/>
    <col min="4350" max="4350" width="46" style="100" bestFit="1" customWidth="1"/>
    <col min="4351" max="4351" width="25.5" style="100" customWidth="1"/>
    <col min="4352" max="4352" width="61.83203125" style="100" customWidth="1"/>
    <col min="4353" max="4605" width="58.6640625" style="100"/>
    <col min="4606" max="4606" width="46" style="100" bestFit="1" customWidth="1"/>
    <col min="4607" max="4607" width="25.5" style="100" customWidth="1"/>
    <col min="4608" max="4608" width="61.83203125" style="100" customWidth="1"/>
    <col min="4609" max="4861" width="58.6640625" style="100"/>
    <col min="4862" max="4862" width="46" style="100" bestFit="1" customWidth="1"/>
    <col min="4863" max="4863" width="25.5" style="100" customWidth="1"/>
    <col min="4864" max="4864" width="61.83203125" style="100" customWidth="1"/>
    <col min="4865" max="5117" width="58.6640625" style="100"/>
    <col min="5118" max="5118" width="46" style="100" bestFit="1" customWidth="1"/>
    <col min="5119" max="5119" width="25.5" style="100" customWidth="1"/>
    <col min="5120" max="5120" width="61.83203125" style="100" customWidth="1"/>
    <col min="5121" max="5373" width="58.6640625" style="100"/>
    <col min="5374" max="5374" width="46" style="100" bestFit="1" customWidth="1"/>
    <col min="5375" max="5375" width="25.5" style="100" customWidth="1"/>
    <col min="5376" max="5376" width="61.83203125" style="100" customWidth="1"/>
    <col min="5377" max="5629" width="58.6640625" style="100"/>
    <col min="5630" max="5630" width="46" style="100" bestFit="1" customWidth="1"/>
    <col min="5631" max="5631" width="25.5" style="100" customWidth="1"/>
    <col min="5632" max="5632" width="61.83203125" style="100" customWidth="1"/>
    <col min="5633" max="5885" width="58.6640625" style="100"/>
    <col min="5886" max="5886" width="46" style="100" bestFit="1" customWidth="1"/>
    <col min="5887" max="5887" width="25.5" style="100" customWidth="1"/>
    <col min="5888" max="5888" width="61.83203125" style="100" customWidth="1"/>
    <col min="5889" max="6141" width="58.6640625" style="100"/>
    <col min="6142" max="6142" width="46" style="100" bestFit="1" customWidth="1"/>
    <col min="6143" max="6143" width="25.5" style="100" customWidth="1"/>
    <col min="6144" max="6144" width="61.83203125" style="100" customWidth="1"/>
    <col min="6145" max="6397" width="58.6640625" style="100"/>
    <col min="6398" max="6398" width="46" style="100" bestFit="1" customWidth="1"/>
    <col min="6399" max="6399" width="25.5" style="100" customWidth="1"/>
    <col min="6400" max="6400" width="61.83203125" style="100" customWidth="1"/>
    <col min="6401" max="6653" width="58.6640625" style="100"/>
    <col min="6654" max="6654" width="46" style="100" bestFit="1" customWidth="1"/>
    <col min="6655" max="6655" width="25.5" style="100" customWidth="1"/>
    <col min="6656" max="6656" width="61.83203125" style="100" customWidth="1"/>
    <col min="6657" max="6909" width="58.6640625" style="100"/>
    <col min="6910" max="6910" width="46" style="100" bestFit="1" customWidth="1"/>
    <col min="6911" max="6911" width="25.5" style="100" customWidth="1"/>
    <col min="6912" max="6912" width="61.83203125" style="100" customWidth="1"/>
    <col min="6913" max="7165" width="58.6640625" style="100"/>
    <col min="7166" max="7166" width="46" style="100" bestFit="1" customWidth="1"/>
    <col min="7167" max="7167" width="25.5" style="100" customWidth="1"/>
    <col min="7168" max="7168" width="61.83203125" style="100" customWidth="1"/>
    <col min="7169" max="7421" width="58.6640625" style="100"/>
    <col min="7422" max="7422" width="46" style="100" bestFit="1" customWidth="1"/>
    <col min="7423" max="7423" width="25.5" style="100" customWidth="1"/>
    <col min="7424" max="7424" width="61.83203125" style="100" customWidth="1"/>
    <col min="7425" max="7677" width="58.6640625" style="100"/>
    <col min="7678" max="7678" width="46" style="100" bestFit="1" customWidth="1"/>
    <col min="7679" max="7679" width="25.5" style="100" customWidth="1"/>
    <col min="7680" max="7680" width="61.83203125" style="100" customWidth="1"/>
    <col min="7681" max="7933" width="58.6640625" style="100"/>
    <col min="7934" max="7934" width="46" style="100" bestFit="1" customWidth="1"/>
    <col min="7935" max="7935" width="25.5" style="100" customWidth="1"/>
    <col min="7936" max="7936" width="61.83203125" style="100" customWidth="1"/>
    <col min="7937" max="8189" width="58.6640625" style="100"/>
    <col min="8190" max="8190" width="46" style="100" bestFit="1" customWidth="1"/>
    <col min="8191" max="8191" width="25.5" style="100" customWidth="1"/>
    <col min="8192" max="8192" width="61.83203125" style="100" customWidth="1"/>
    <col min="8193" max="8445" width="58.6640625" style="100"/>
    <col min="8446" max="8446" width="46" style="100" bestFit="1" customWidth="1"/>
    <col min="8447" max="8447" width="25.5" style="100" customWidth="1"/>
    <col min="8448" max="8448" width="61.83203125" style="100" customWidth="1"/>
    <col min="8449" max="8701" width="58.6640625" style="100"/>
    <col min="8702" max="8702" width="46" style="100" bestFit="1" customWidth="1"/>
    <col min="8703" max="8703" width="25.5" style="100" customWidth="1"/>
    <col min="8704" max="8704" width="61.83203125" style="100" customWidth="1"/>
    <col min="8705" max="8957" width="58.6640625" style="100"/>
    <col min="8958" max="8958" width="46" style="100" bestFit="1" customWidth="1"/>
    <col min="8959" max="8959" width="25.5" style="100" customWidth="1"/>
    <col min="8960" max="8960" width="61.83203125" style="100" customWidth="1"/>
    <col min="8961" max="9213" width="58.6640625" style="100"/>
    <col min="9214" max="9214" width="46" style="100" bestFit="1" customWidth="1"/>
    <col min="9215" max="9215" width="25.5" style="100" customWidth="1"/>
    <col min="9216" max="9216" width="61.83203125" style="100" customWidth="1"/>
    <col min="9217" max="9469" width="58.6640625" style="100"/>
    <col min="9470" max="9470" width="46" style="100" bestFit="1" customWidth="1"/>
    <col min="9471" max="9471" width="25.5" style="100" customWidth="1"/>
    <col min="9472" max="9472" width="61.83203125" style="100" customWidth="1"/>
    <col min="9473" max="9725" width="58.6640625" style="100"/>
    <col min="9726" max="9726" width="46" style="100" bestFit="1" customWidth="1"/>
    <col min="9727" max="9727" width="25.5" style="100" customWidth="1"/>
    <col min="9728" max="9728" width="61.83203125" style="100" customWidth="1"/>
    <col min="9729" max="9981" width="58.6640625" style="100"/>
    <col min="9982" max="9982" width="46" style="100" bestFit="1" customWidth="1"/>
    <col min="9983" max="9983" width="25.5" style="100" customWidth="1"/>
    <col min="9984" max="9984" width="61.83203125" style="100" customWidth="1"/>
    <col min="9985" max="10237" width="58.6640625" style="100"/>
    <col min="10238" max="10238" width="46" style="100" bestFit="1" customWidth="1"/>
    <col min="10239" max="10239" width="25.5" style="100" customWidth="1"/>
    <col min="10240" max="10240" width="61.83203125" style="100" customWidth="1"/>
    <col min="10241" max="10493" width="58.6640625" style="100"/>
    <col min="10494" max="10494" width="46" style="100" bestFit="1" customWidth="1"/>
    <col min="10495" max="10495" width="25.5" style="100" customWidth="1"/>
    <col min="10496" max="10496" width="61.83203125" style="100" customWidth="1"/>
    <col min="10497" max="10749" width="58.6640625" style="100"/>
    <col min="10750" max="10750" width="46" style="100" bestFit="1" customWidth="1"/>
    <col min="10751" max="10751" width="25.5" style="100" customWidth="1"/>
    <col min="10752" max="10752" width="61.83203125" style="100" customWidth="1"/>
    <col min="10753" max="11005" width="58.6640625" style="100"/>
    <col min="11006" max="11006" width="46" style="100" bestFit="1" customWidth="1"/>
    <col min="11007" max="11007" width="25.5" style="100" customWidth="1"/>
    <col min="11008" max="11008" width="61.83203125" style="100" customWidth="1"/>
    <col min="11009" max="11261" width="58.6640625" style="100"/>
    <col min="11262" max="11262" width="46" style="100" bestFit="1" customWidth="1"/>
    <col min="11263" max="11263" width="25.5" style="100" customWidth="1"/>
    <col min="11264" max="11264" width="61.83203125" style="100" customWidth="1"/>
    <col min="11265" max="11517" width="58.6640625" style="100"/>
    <col min="11518" max="11518" width="46" style="100" bestFit="1" customWidth="1"/>
    <col min="11519" max="11519" width="25.5" style="100" customWidth="1"/>
    <col min="11520" max="11520" width="61.83203125" style="100" customWidth="1"/>
    <col min="11521" max="11773" width="58.6640625" style="100"/>
    <col min="11774" max="11774" width="46" style="100" bestFit="1" customWidth="1"/>
    <col min="11775" max="11775" width="25.5" style="100" customWidth="1"/>
    <col min="11776" max="11776" width="61.83203125" style="100" customWidth="1"/>
    <col min="11777" max="12029" width="58.6640625" style="100"/>
    <col min="12030" max="12030" width="46" style="100" bestFit="1" customWidth="1"/>
    <col min="12031" max="12031" width="25.5" style="100" customWidth="1"/>
    <col min="12032" max="12032" width="61.83203125" style="100" customWidth="1"/>
    <col min="12033" max="12285" width="58.6640625" style="100"/>
    <col min="12286" max="12286" width="46" style="100" bestFit="1" customWidth="1"/>
    <col min="12287" max="12287" width="25.5" style="100" customWidth="1"/>
    <col min="12288" max="12288" width="61.83203125" style="100" customWidth="1"/>
    <col min="12289" max="12541" width="58.6640625" style="100"/>
    <col min="12542" max="12542" width="46" style="100" bestFit="1" customWidth="1"/>
    <col min="12543" max="12543" width="25.5" style="100" customWidth="1"/>
    <col min="12544" max="12544" width="61.83203125" style="100" customWidth="1"/>
    <col min="12545" max="12797" width="58.6640625" style="100"/>
    <col min="12798" max="12798" width="46" style="100" bestFit="1" customWidth="1"/>
    <col min="12799" max="12799" width="25.5" style="100" customWidth="1"/>
    <col min="12800" max="12800" width="61.83203125" style="100" customWidth="1"/>
    <col min="12801" max="13053" width="58.6640625" style="100"/>
    <col min="13054" max="13054" width="46" style="100" bestFit="1" customWidth="1"/>
    <col min="13055" max="13055" width="25.5" style="100" customWidth="1"/>
    <col min="13056" max="13056" width="61.83203125" style="100" customWidth="1"/>
    <col min="13057" max="13309" width="58.6640625" style="100"/>
    <col min="13310" max="13310" width="46" style="100" bestFit="1" customWidth="1"/>
    <col min="13311" max="13311" width="25.5" style="100" customWidth="1"/>
    <col min="13312" max="13312" width="61.83203125" style="100" customWidth="1"/>
    <col min="13313" max="13565" width="58.6640625" style="100"/>
    <col min="13566" max="13566" width="46" style="100" bestFit="1" customWidth="1"/>
    <col min="13567" max="13567" width="25.5" style="100" customWidth="1"/>
    <col min="13568" max="13568" width="61.83203125" style="100" customWidth="1"/>
    <col min="13569" max="13821" width="58.6640625" style="100"/>
    <col min="13822" max="13822" width="46" style="100" bestFit="1" customWidth="1"/>
    <col min="13823" max="13823" width="25.5" style="100" customWidth="1"/>
    <col min="13824" max="13824" width="61.83203125" style="100" customWidth="1"/>
    <col min="13825" max="14077" width="58.6640625" style="100"/>
    <col min="14078" max="14078" width="46" style="100" bestFit="1" customWidth="1"/>
    <col min="14079" max="14079" width="25.5" style="100" customWidth="1"/>
    <col min="14080" max="14080" width="61.83203125" style="100" customWidth="1"/>
    <col min="14081" max="14333" width="58.6640625" style="100"/>
    <col min="14334" max="14334" width="46" style="100" bestFit="1" customWidth="1"/>
    <col min="14335" max="14335" width="25.5" style="100" customWidth="1"/>
    <col min="14336" max="14336" width="61.83203125" style="100" customWidth="1"/>
    <col min="14337" max="14589" width="58.6640625" style="100"/>
    <col min="14590" max="14590" width="46" style="100" bestFit="1" customWidth="1"/>
    <col min="14591" max="14591" width="25.5" style="100" customWidth="1"/>
    <col min="14592" max="14592" width="61.83203125" style="100" customWidth="1"/>
    <col min="14593" max="14845" width="58.6640625" style="100"/>
    <col min="14846" max="14846" width="46" style="100" bestFit="1" customWidth="1"/>
    <col min="14847" max="14847" width="25.5" style="100" customWidth="1"/>
    <col min="14848" max="14848" width="61.83203125" style="100" customWidth="1"/>
    <col min="14849" max="15101" width="58.6640625" style="100"/>
    <col min="15102" max="15102" width="46" style="100" bestFit="1" customWidth="1"/>
    <col min="15103" max="15103" width="25.5" style="100" customWidth="1"/>
    <col min="15104" max="15104" width="61.83203125" style="100" customWidth="1"/>
    <col min="15105" max="15357" width="58.6640625" style="100"/>
    <col min="15358" max="15358" width="46" style="100" bestFit="1" customWidth="1"/>
    <col min="15359" max="15359" width="25.5" style="100" customWidth="1"/>
    <col min="15360" max="15360" width="61.83203125" style="100" customWidth="1"/>
    <col min="15361" max="15613" width="58.6640625" style="100"/>
    <col min="15614" max="15614" width="46" style="100" bestFit="1" customWidth="1"/>
    <col min="15615" max="15615" width="25.5" style="100" customWidth="1"/>
    <col min="15616" max="15616" width="61.83203125" style="100" customWidth="1"/>
    <col min="15617" max="15869" width="58.6640625" style="100"/>
    <col min="15870" max="15870" width="46" style="100" bestFit="1" customWidth="1"/>
    <col min="15871" max="15871" width="25.5" style="100" customWidth="1"/>
    <col min="15872" max="15872" width="61.83203125" style="100" customWidth="1"/>
    <col min="15873" max="16125" width="58.6640625" style="100"/>
    <col min="16126" max="16126" width="46" style="100" bestFit="1" customWidth="1"/>
    <col min="16127" max="16127" width="25.5" style="100" customWidth="1"/>
    <col min="16128" max="16128" width="61.83203125" style="100" customWidth="1"/>
    <col min="16129" max="16384" width="58.6640625" style="100"/>
  </cols>
  <sheetData>
    <row r="1" spans="1:5" ht="31" customHeight="1">
      <c r="A1" s="141" t="s">
        <v>102</v>
      </c>
      <c r="B1" s="141"/>
      <c r="C1" s="141"/>
      <c r="D1" s="141" t="s">
        <v>170</v>
      </c>
    </row>
    <row r="2" spans="1:5" ht="43" customHeight="1">
      <c r="A2" s="118" t="s">
        <v>154</v>
      </c>
      <c r="B2" s="119" t="s">
        <v>103</v>
      </c>
      <c r="C2" s="120" t="s">
        <v>104</v>
      </c>
      <c r="D2" s="121" t="s">
        <v>105</v>
      </c>
    </row>
    <row r="3" spans="1:5" ht="45" customHeight="1">
      <c r="A3" s="118" t="s">
        <v>154</v>
      </c>
      <c r="B3" s="119" t="s">
        <v>45</v>
      </c>
      <c r="C3" s="120" t="s">
        <v>113</v>
      </c>
      <c r="D3" s="121" t="s">
        <v>114</v>
      </c>
    </row>
    <row r="4" spans="1:5" ht="26" customHeight="1">
      <c r="A4" s="118" t="s">
        <v>154</v>
      </c>
      <c r="B4" s="119" t="s">
        <v>99</v>
      </c>
      <c r="C4" s="122" t="s">
        <v>51</v>
      </c>
      <c r="D4" s="123" t="s">
        <v>118</v>
      </c>
    </row>
    <row r="5" spans="1:5" ht="51">
      <c r="A5" s="118" t="s">
        <v>154</v>
      </c>
      <c r="B5" s="119" t="s">
        <v>15</v>
      </c>
      <c r="C5" s="120" t="s">
        <v>145</v>
      </c>
      <c r="D5" s="121" t="s">
        <v>146</v>
      </c>
    </row>
    <row r="6" spans="1:5" ht="34">
      <c r="A6" s="118" t="s">
        <v>154</v>
      </c>
      <c r="B6" s="119" t="s">
        <v>46</v>
      </c>
      <c r="C6" s="120" t="s">
        <v>67</v>
      </c>
      <c r="D6" s="121" t="s">
        <v>153</v>
      </c>
    </row>
    <row r="7" spans="1:5" ht="34">
      <c r="A7" s="124" t="s">
        <v>41</v>
      </c>
      <c r="B7" s="109" t="s">
        <v>119</v>
      </c>
      <c r="C7" s="125" t="s">
        <v>120</v>
      </c>
      <c r="D7" s="126" t="s">
        <v>121</v>
      </c>
    </row>
    <row r="8" spans="1:5" ht="51">
      <c r="A8" s="124" t="s">
        <v>41</v>
      </c>
      <c r="B8" s="109" t="s">
        <v>147</v>
      </c>
      <c r="C8" s="127" t="s">
        <v>148</v>
      </c>
      <c r="D8" s="128" t="s">
        <v>149</v>
      </c>
    </row>
    <row r="9" spans="1:5" ht="17">
      <c r="A9" s="124" t="s">
        <v>41</v>
      </c>
      <c r="B9" s="109" t="s">
        <v>155</v>
      </c>
      <c r="C9" s="139"/>
      <c r="D9" s="140"/>
    </row>
    <row r="10" spans="1:5" ht="51">
      <c r="A10" s="129" t="s">
        <v>100</v>
      </c>
      <c r="B10" s="110" t="s">
        <v>106</v>
      </c>
      <c r="C10" s="130" t="s">
        <v>107</v>
      </c>
      <c r="D10" s="131" t="s">
        <v>108</v>
      </c>
    </row>
    <row r="11" spans="1:5" ht="34">
      <c r="A11" s="129" t="s">
        <v>100</v>
      </c>
      <c r="B11" s="110" t="s">
        <v>59</v>
      </c>
      <c r="C11" s="132" t="s">
        <v>126</v>
      </c>
      <c r="D11" s="133" t="s">
        <v>127</v>
      </c>
    </row>
    <row r="12" spans="1:5" ht="43" customHeight="1">
      <c r="A12" s="129" t="s">
        <v>100</v>
      </c>
      <c r="B12" s="110" t="s">
        <v>54</v>
      </c>
      <c r="C12" s="132" t="s">
        <v>132</v>
      </c>
      <c r="D12" s="133" t="s">
        <v>133</v>
      </c>
    </row>
    <row r="13" spans="1:5" ht="51">
      <c r="A13" s="134" t="s">
        <v>101</v>
      </c>
      <c r="B13" s="111" t="s">
        <v>42</v>
      </c>
      <c r="C13" s="135" t="s">
        <v>122</v>
      </c>
      <c r="D13" s="136" t="s">
        <v>123</v>
      </c>
    </row>
    <row r="14" spans="1:5" ht="34">
      <c r="A14" s="134" t="s">
        <v>101</v>
      </c>
      <c r="B14" s="111" t="s">
        <v>43</v>
      </c>
      <c r="C14" s="137" t="s">
        <v>57</v>
      </c>
      <c r="D14" s="138" t="s">
        <v>140</v>
      </c>
      <c r="E14" s="100" t="s">
        <v>171</v>
      </c>
    </row>
    <row r="15" spans="1:5" ht="55" customHeight="1">
      <c r="A15" s="134" t="s">
        <v>101</v>
      </c>
      <c r="B15" s="111" t="s">
        <v>150</v>
      </c>
      <c r="C15" s="135" t="s">
        <v>151</v>
      </c>
      <c r="D15" s="136" t="s">
        <v>152</v>
      </c>
      <c r="E15" s="100" t="s">
        <v>172</v>
      </c>
    </row>
    <row r="16" spans="1:5" ht="31" customHeight="1">
      <c r="B16" s="101" t="s">
        <v>44</v>
      </c>
      <c r="C16" s="102" t="s">
        <v>109</v>
      </c>
      <c r="D16" s="103" t="s">
        <v>110</v>
      </c>
    </row>
    <row r="17" spans="2:5" ht="31" customHeight="1">
      <c r="B17" s="101" t="s">
        <v>50</v>
      </c>
      <c r="C17" s="104" t="s">
        <v>111</v>
      </c>
      <c r="D17" s="105" t="s">
        <v>112</v>
      </c>
    </row>
    <row r="18" spans="2:5" ht="31" customHeight="1">
      <c r="B18" s="101" t="s">
        <v>115</v>
      </c>
      <c r="C18" s="104" t="s">
        <v>116</v>
      </c>
      <c r="D18" s="105" t="s">
        <v>117</v>
      </c>
    </row>
    <row r="19" spans="2:5" ht="31" customHeight="1">
      <c r="B19" s="101" t="s">
        <v>16</v>
      </c>
      <c r="C19" s="102" t="s">
        <v>124</v>
      </c>
      <c r="D19" s="103" t="s">
        <v>125</v>
      </c>
    </row>
    <row r="20" spans="2:5" ht="31" customHeight="1">
      <c r="B20" s="101" t="s">
        <v>128</v>
      </c>
      <c r="C20" s="102" t="s">
        <v>129</v>
      </c>
      <c r="D20" s="103" t="s">
        <v>130</v>
      </c>
    </row>
    <row r="21" spans="2:5" ht="31" customHeight="1">
      <c r="B21" s="101" t="s">
        <v>52</v>
      </c>
      <c r="C21" s="102" t="s">
        <v>53</v>
      </c>
      <c r="D21" s="103" t="s">
        <v>131</v>
      </c>
      <c r="E21" s="100" t="s">
        <v>173</v>
      </c>
    </row>
    <row r="22" spans="2:5" ht="31" customHeight="1">
      <c r="B22" s="101" t="s">
        <v>134</v>
      </c>
      <c r="C22" s="102" t="s">
        <v>135</v>
      </c>
      <c r="D22" s="103" t="s">
        <v>136</v>
      </c>
    </row>
    <row r="23" spans="2:5" ht="31" customHeight="1">
      <c r="B23" s="101" t="s">
        <v>137</v>
      </c>
      <c r="C23" s="102" t="s">
        <v>138</v>
      </c>
      <c r="D23" s="103" t="s">
        <v>139</v>
      </c>
    </row>
    <row r="24" spans="2:5" ht="31" customHeight="1">
      <c r="B24" s="101" t="s">
        <v>141</v>
      </c>
      <c r="C24" s="102" t="s">
        <v>58</v>
      </c>
      <c r="D24" s="103" t="s">
        <v>142</v>
      </c>
      <c r="E24" s="100" t="s">
        <v>175</v>
      </c>
    </row>
    <row r="25" spans="2:5" ht="31" customHeight="1">
      <c r="B25" s="101" t="s">
        <v>55</v>
      </c>
      <c r="C25" s="102" t="s">
        <v>143</v>
      </c>
      <c r="D25" s="103" t="s">
        <v>144</v>
      </c>
      <c r="E25" s="100" t="s">
        <v>171</v>
      </c>
    </row>
    <row r="26" spans="2:5" ht="31" customHeight="1">
      <c r="B26" s="100"/>
      <c r="C26" s="100"/>
      <c r="D26" s="100"/>
    </row>
    <row r="27" spans="2:5" ht="31" customHeight="1">
      <c r="B27" s="100"/>
      <c r="C27" s="100"/>
      <c r="D27" s="100"/>
    </row>
    <row r="28" spans="2:5" ht="31" customHeight="1">
      <c r="B28" s="100"/>
      <c r="C28" s="100"/>
      <c r="D28" s="100"/>
    </row>
    <row r="29" spans="2:5" ht="31" customHeight="1">
      <c r="B29" s="100"/>
      <c r="C29" s="100"/>
      <c r="D29" s="100"/>
    </row>
    <row r="30" spans="2:5" ht="31" customHeight="1">
      <c r="B30" s="100"/>
      <c r="C30" s="100"/>
      <c r="D30" s="10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6F481-51C2-4FE4-9E05-9EC8FE53E6E6}">
  <sheetPr>
    <tabColor indexed="30"/>
  </sheetPr>
  <dimension ref="A1:BD76"/>
  <sheetViews>
    <sheetView zoomScale="109" zoomScaleNormal="90" workbookViewId="0">
      <selection activeCell="M6" sqref="M6:O27"/>
    </sheetView>
  </sheetViews>
  <sheetFormatPr baseColWidth="10" defaultColWidth="8.83203125" defaultRowHeight="13"/>
  <cols>
    <col min="1" max="3" width="4.5" bestFit="1" customWidth="1"/>
    <col min="16" max="18" width="4.5" bestFit="1" customWidth="1"/>
    <col min="22" max="22" width="8.83203125" customWidth="1"/>
    <col min="31" max="31" width="16.1640625" bestFit="1" customWidth="1"/>
    <col min="35" max="35" width="8.1640625" bestFit="1" customWidth="1"/>
    <col min="36" max="36" width="13.83203125" bestFit="1" customWidth="1"/>
    <col min="40" max="41" width="13.83203125" bestFit="1" customWidth="1"/>
    <col min="46" max="46" width="13.83203125" bestFit="1" customWidth="1"/>
    <col min="56" max="56" width="13.83203125" bestFit="1" customWidth="1"/>
  </cols>
  <sheetData>
    <row r="1" spans="1:56">
      <c r="A1" s="470" t="s">
        <v>231</v>
      </c>
      <c r="B1" s="470"/>
      <c r="C1" s="470"/>
      <c r="D1" s="470"/>
      <c r="E1" s="470"/>
      <c r="F1" s="470"/>
      <c r="G1" s="470"/>
      <c r="H1" s="470"/>
      <c r="I1" s="470"/>
      <c r="J1" s="470"/>
      <c r="K1" s="470"/>
      <c r="L1" s="470"/>
      <c r="M1" s="206"/>
      <c r="N1" s="206"/>
      <c r="O1" s="206"/>
      <c r="P1" s="206"/>
      <c r="Q1" s="206"/>
      <c r="R1" s="206"/>
      <c r="S1" s="206"/>
      <c r="T1" s="206"/>
      <c r="U1" s="206"/>
      <c r="V1" s="206"/>
      <c r="W1" s="206"/>
      <c r="X1" s="206"/>
      <c r="Y1" s="206"/>
      <c r="Z1" s="206"/>
      <c r="AA1" s="206"/>
    </row>
    <row r="2" spans="1:56">
      <c r="A2" s="470"/>
      <c r="B2" s="470"/>
      <c r="C2" s="470"/>
      <c r="D2" s="470"/>
      <c r="E2" s="470"/>
      <c r="F2" s="470"/>
      <c r="G2" s="470"/>
      <c r="H2" s="470"/>
      <c r="I2" s="470"/>
      <c r="J2" s="470"/>
      <c r="K2" s="470"/>
      <c r="L2" s="470"/>
      <c r="M2" s="206"/>
      <c r="N2" s="206"/>
      <c r="O2" s="206"/>
      <c r="P2" s="206"/>
      <c r="Q2" s="206"/>
      <c r="R2" s="206"/>
      <c r="S2" s="206"/>
      <c r="T2" s="206"/>
      <c r="U2" s="206"/>
      <c r="V2" s="206"/>
      <c r="W2" s="206"/>
      <c r="X2" s="206"/>
      <c r="Y2" s="206"/>
      <c r="Z2" s="206"/>
      <c r="AA2" s="206"/>
    </row>
    <row r="3" spans="1:56">
      <c r="A3" s="470"/>
      <c r="B3" s="470"/>
      <c r="C3" s="470"/>
      <c r="D3" s="470"/>
      <c r="E3" s="470"/>
      <c r="F3" s="470"/>
      <c r="G3" s="470"/>
      <c r="H3" s="470"/>
      <c r="I3" s="470"/>
      <c r="J3" s="470"/>
      <c r="K3" s="470"/>
      <c r="L3" s="470"/>
      <c r="M3" s="206"/>
      <c r="N3" s="206"/>
      <c r="O3" s="206"/>
      <c r="P3" s="206"/>
      <c r="Q3" s="206"/>
      <c r="R3" s="206"/>
      <c r="S3" s="206"/>
      <c r="T3" s="206"/>
      <c r="U3" s="206"/>
      <c r="V3" s="206"/>
      <c r="W3" s="206"/>
      <c r="X3" s="206"/>
      <c r="Y3" s="206"/>
      <c r="Z3" s="206"/>
      <c r="AA3" s="206"/>
    </row>
    <row r="4" spans="1:56">
      <c r="A4" s="493"/>
      <c r="B4" s="493"/>
      <c r="C4" s="493"/>
      <c r="D4" s="493"/>
      <c r="E4" s="493"/>
      <c r="F4" s="493"/>
      <c r="G4" s="493"/>
      <c r="H4" s="493"/>
      <c r="I4" s="493"/>
      <c r="J4" s="493"/>
      <c r="K4" s="493"/>
      <c r="L4" s="493"/>
      <c r="M4" s="493"/>
      <c r="N4" s="493"/>
      <c r="O4" s="493"/>
      <c r="P4" s="493"/>
      <c r="Q4" s="493"/>
      <c r="R4" s="493"/>
      <c r="S4" s="493"/>
      <c r="T4" s="493"/>
      <c r="U4" s="493"/>
      <c r="V4" s="493"/>
      <c r="W4" s="493"/>
      <c r="X4" s="493"/>
      <c r="Y4" s="493"/>
      <c r="Z4" s="493"/>
      <c r="AA4" s="493"/>
    </row>
    <row r="5" spans="1:56" ht="21">
      <c r="A5" s="494"/>
      <c r="B5" s="494"/>
      <c r="C5" s="494"/>
      <c r="D5" s="494"/>
      <c r="E5" s="494"/>
      <c r="F5" s="494"/>
      <c r="G5" s="499" t="s">
        <v>216</v>
      </c>
      <c r="H5" s="499"/>
      <c r="I5" s="499"/>
      <c r="J5" s="493"/>
      <c r="K5" s="493"/>
      <c r="L5" s="493"/>
      <c r="M5" s="493"/>
      <c r="N5" s="493"/>
      <c r="O5" s="493"/>
      <c r="P5" s="493"/>
      <c r="Q5" s="493"/>
      <c r="R5" s="493"/>
      <c r="S5" s="493"/>
      <c r="T5" s="493"/>
      <c r="U5" s="493"/>
      <c r="V5" s="500" t="s">
        <v>204</v>
      </c>
      <c r="W5" s="500"/>
      <c r="X5" s="500"/>
      <c r="Y5" s="494"/>
      <c r="Z5" s="494"/>
      <c r="AA5" s="494"/>
    </row>
    <row r="6" spans="1:56" ht="13" customHeight="1">
      <c r="A6" s="471" t="s">
        <v>205</v>
      </c>
      <c r="B6" s="473" t="s">
        <v>196</v>
      </c>
      <c r="C6" s="474" t="s">
        <v>206</v>
      </c>
      <c r="D6" s="477" t="s">
        <v>219</v>
      </c>
      <c r="E6" s="478"/>
      <c r="F6" s="479"/>
      <c r="G6" s="486" t="s">
        <v>218</v>
      </c>
      <c r="H6" s="487"/>
      <c r="I6" s="487"/>
      <c r="J6" s="488" t="s">
        <v>228</v>
      </c>
      <c r="K6" s="489"/>
      <c r="L6" s="489"/>
      <c r="M6" s="507" t="s">
        <v>175</v>
      </c>
      <c r="N6" s="493"/>
      <c r="O6" s="493"/>
      <c r="P6" s="471" t="s">
        <v>207</v>
      </c>
      <c r="Q6" s="473" t="s">
        <v>196</v>
      </c>
      <c r="R6" s="474" t="s">
        <v>206</v>
      </c>
      <c r="S6" s="486" t="s">
        <v>229</v>
      </c>
      <c r="T6" s="487"/>
      <c r="U6" s="487"/>
      <c r="V6" s="486" t="s">
        <v>208</v>
      </c>
      <c r="W6" s="487"/>
      <c r="X6" s="487"/>
      <c r="Y6" s="488" t="s">
        <v>217</v>
      </c>
      <c r="Z6" s="489"/>
      <c r="AA6" s="489"/>
      <c r="AG6" s="202"/>
      <c r="AI6" s="220"/>
    </row>
    <row r="7" spans="1:56" ht="13" customHeight="1">
      <c r="A7" s="472"/>
      <c r="B7" s="473"/>
      <c r="C7" s="475"/>
      <c r="D7" s="480"/>
      <c r="E7" s="481"/>
      <c r="F7" s="482"/>
      <c r="G7" s="487"/>
      <c r="H7" s="487"/>
      <c r="I7" s="487"/>
      <c r="J7" s="489"/>
      <c r="K7" s="489"/>
      <c r="L7" s="489"/>
      <c r="M7" s="507"/>
      <c r="N7" s="493"/>
      <c r="O7" s="493"/>
      <c r="P7" s="472"/>
      <c r="Q7" s="473"/>
      <c r="R7" s="475"/>
      <c r="S7" s="487"/>
      <c r="T7" s="487"/>
      <c r="U7" s="487"/>
      <c r="V7" s="487"/>
      <c r="W7" s="487"/>
      <c r="X7" s="487"/>
      <c r="Y7" s="489"/>
      <c r="Z7" s="489"/>
      <c r="AA7" s="489"/>
      <c r="AG7" s="202"/>
    </row>
    <row r="8" spans="1:56" ht="13" customHeight="1">
      <c r="A8" s="472"/>
      <c r="B8" s="473"/>
      <c r="C8" s="475"/>
      <c r="D8" s="480"/>
      <c r="E8" s="481"/>
      <c r="F8" s="482"/>
      <c r="G8" s="487"/>
      <c r="H8" s="487"/>
      <c r="I8" s="487"/>
      <c r="J8" s="489"/>
      <c r="K8" s="489"/>
      <c r="L8" s="489"/>
      <c r="M8" s="507"/>
      <c r="N8" s="493"/>
      <c r="O8" s="493"/>
      <c r="P8" s="472"/>
      <c r="Q8" s="473"/>
      <c r="R8" s="475"/>
      <c r="S8" s="487"/>
      <c r="T8" s="487"/>
      <c r="U8" s="487"/>
      <c r="V8" s="487"/>
      <c r="W8" s="487"/>
      <c r="X8" s="487"/>
      <c r="Y8" s="489"/>
      <c r="Z8" s="489"/>
      <c r="AA8" s="489"/>
      <c r="AG8" s="202"/>
    </row>
    <row r="9" spans="1:56" ht="13" customHeight="1">
      <c r="A9" s="472"/>
      <c r="B9" s="473"/>
      <c r="C9" s="475"/>
      <c r="D9" s="480"/>
      <c r="E9" s="481"/>
      <c r="F9" s="482"/>
      <c r="G9" s="487"/>
      <c r="H9" s="487"/>
      <c r="I9" s="487"/>
      <c r="J9" s="489"/>
      <c r="K9" s="489"/>
      <c r="L9" s="489"/>
      <c r="M9" s="507"/>
      <c r="N9" s="493"/>
      <c r="O9" s="493"/>
      <c r="P9" s="472"/>
      <c r="Q9" s="473"/>
      <c r="R9" s="475"/>
      <c r="S9" s="487"/>
      <c r="T9" s="487"/>
      <c r="U9" s="487"/>
      <c r="V9" s="487"/>
      <c r="W9" s="487"/>
      <c r="X9" s="487"/>
      <c r="Y9" s="489"/>
      <c r="Z9" s="489"/>
      <c r="AA9" s="489"/>
      <c r="AG9" s="202"/>
      <c r="AN9" s="216"/>
      <c r="AO9" s="204"/>
      <c r="AP9" s="204"/>
      <c r="AQ9" s="204"/>
      <c r="AR9" s="204"/>
      <c r="AS9" s="204"/>
      <c r="AT9" s="204"/>
      <c r="AU9" s="204"/>
      <c r="AV9" s="204"/>
      <c r="AW9" s="204"/>
      <c r="AX9" s="204"/>
      <c r="AY9" s="204"/>
      <c r="AZ9" s="204"/>
      <c r="BA9" s="204"/>
      <c r="BB9" s="204"/>
      <c r="BC9" s="204"/>
      <c r="BD9" s="204"/>
    </row>
    <row r="10" spans="1:56" ht="13" customHeight="1">
      <c r="A10" s="472"/>
      <c r="B10" s="473"/>
      <c r="C10" s="475"/>
      <c r="D10" s="480"/>
      <c r="E10" s="481"/>
      <c r="F10" s="482"/>
      <c r="G10" s="487"/>
      <c r="H10" s="487"/>
      <c r="I10" s="487"/>
      <c r="J10" s="489"/>
      <c r="K10" s="489"/>
      <c r="L10" s="489"/>
      <c r="M10" s="507"/>
      <c r="N10" s="493"/>
      <c r="O10" s="493"/>
      <c r="P10" s="472"/>
      <c r="Q10" s="473"/>
      <c r="R10" s="475"/>
      <c r="S10" s="487"/>
      <c r="T10" s="487"/>
      <c r="U10" s="487"/>
      <c r="V10" s="487"/>
      <c r="W10" s="487"/>
      <c r="X10" s="487"/>
      <c r="Y10" s="489"/>
      <c r="Z10" s="489"/>
      <c r="AA10" s="489"/>
      <c r="AG10" s="202"/>
      <c r="AN10" s="216"/>
      <c r="AO10" s="204"/>
      <c r="AP10" s="204"/>
      <c r="AQ10" s="204"/>
      <c r="AR10" s="204"/>
      <c r="AS10" s="204"/>
      <c r="AT10" s="204"/>
      <c r="AU10" s="204"/>
      <c r="AV10" s="204"/>
      <c r="AW10" s="204"/>
      <c r="AX10" s="204"/>
      <c r="AY10" s="204"/>
      <c r="AZ10" s="204"/>
      <c r="BA10" s="204"/>
      <c r="BB10" s="204"/>
      <c r="BC10" s="204"/>
      <c r="BD10" s="204"/>
    </row>
    <row r="11" spans="1:56" ht="42.5" customHeight="1">
      <c r="A11" s="472"/>
      <c r="B11" s="473"/>
      <c r="C11" s="476"/>
      <c r="D11" s="483"/>
      <c r="E11" s="484"/>
      <c r="F11" s="485"/>
      <c r="G11" s="487"/>
      <c r="H11" s="487"/>
      <c r="I11" s="487"/>
      <c r="J11" s="489"/>
      <c r="K11" s="489"/>
      <c r="L11" s="489"/>
      <c r="M11" s="507"/>
      <c r="N11" s="493"/>
      <c r="O11" s="493"/>
      <c r="P11" s="472"/>
      <c r="Q11" s="473"/>
      <c r="R11" s="476"/>
      <c r="S11" s="487"/>
      <c r="T11" s="487"/>
      <c r="U11" s="487"/>
      <c r="V11" s="487"/>
      <c r="W11" s="487"/>
      <c r="X11" s="487"/>
      <c r="Y11" s="489"/>
      <c r="Z11" s="489"/>
      <c r="AA11" s="489"/>
      <c r="AG11" s="202"/>
      <c r="AN11" s="216"/>
      <c r="AO11" s="216"/>
      <c r="AP11" s="204"/>
      <c r="AQ11" s="204"/>
      <c r="AR11" s="204"/>
      <c r="AS11" s="204"/>
      <c r="AT11" s="204"/>
      <c r="AU11" s="204"/>
      <c r="AV11" s="204"/>
      <c r="AW11" s="204"/>
      <c r="AX11" s="204"/>
      <c r="AY11" s="204"/>
      <c r="AZ11" s="204"/>
      <c r="BA11" s="204"/>
      <c r="BB11" s="204"/>
      <c r="BC11" s="204"/>
      <c r="BD11" s="204"/>
    </row>
    <row r="12" spans="1:56" ht="13" customHeight="1">
      <c r="A12" s="472"/>
      <c r="B12" s="473" t="s">
        <v>198</v>
      </c>
      <c r="C12" s="495" t="s">
        <v>209</v>
      </c>
      <c r="D12" s="486" t="s">
        <v>224</v>
      </c>
      <c r="E12" s="487"/>
      <c r="F12" s="487"/>
      <c r="G12" s="466" t="s">
        <v>223</v>
      </c>
      <c r="H12" s="467"/>
      <c r="I12" s="467"/>
      <c r="J12" s="466" t="s">
        <v>227</v>
      </c>
      <c r="K12" s="467"/>
      <c r="L12" s="467"/>
      <c r="M12" s="507"/>
      <c r="N12" s="493"/>
      <c r="O12" s="493"/>
      <c r="P12" s="472"/>
      <c r="Q12" s="473" t="s">
        <v>198</v>
      </c>
      <c r="R12" s="495" t="s">
        <v>209</v>
      </c>
      <c r="S12" s="486" t="s">
        <v>236</v>
      </c>
      <c r="T12" s="487"/>
      <c r="U12" s="487"/>
      <c r="V12" s="501" t="s">
        <v>210</v>
      </c>
      <c r="W12" s="502"/>
      <c r="X12" s="502"/>
      <c r="Y12" s="486" t="s">
        <v>211</v>
      </c>
      <c r="Z12" s="487"/>
      <c r="AA12" s="487"/>
      <c r="AG12" s="202"/>
    </row>
    <row r="13" spans="1:56" ht="13" customHeight="1">
      <c r="A13" s="472"/>
      <c r="B13" s="473"/>
      <c r="C13" s="496"/>
      <c r="D13" s="487"/>
      <c r="E13" s="487"/>
      <c r="F13" s="487"/>
      <c r="G13" s="467"/>
      <c r="H13" s="467"/>
      <c r="I13" s="467"/>
      <c r="J13" s="467"/>
      <c r="K13" s="467"/>
      <c r="L13" s="467"/>
      <c r="M13" s="507"/>
      <c r="N13" s="493"/>
      <c r="O13" s="493"/>
      <c r="P13" s="472"/>
      <c r="Q13" s="473"/>
      <c r="R13" s="496"/>
      <c r="S13" s="487"/>
      <c r="T13" s="487"/>
      <c r="U13" s="487"/>
      <c r="V13" s="502"/>
      <c r="W13" s="502"/>
      <c r="X13" s="502"/>
      <c r="Y13" s="487"/>
      <c r="Z13" s="487"/>
      <c r="AA13" s="487"/>
      <c r="AG13" s="202"/>
    </row>
    <row r="14" spans="1:56" ht="13" customHeight="1">
      <c r="A14" s="472"/>
      <c r="B14" s="473"/>
      <c r="C14" s="496"/>
      <c r="D14" s="487"/>
      <c r="E14" s="487"/>
      <c r="F14" s="487"/>
      <c r="G14" s="467"/>
      <c r="H14" s="467"/>
      <c r="I14" s="467"/>
      <c r="J14" s="467"/>
      <c r="K14" s="467"/>
      <c r="L14" s="467"/>
      <c r="M14" s="507"/>
      <c r="N14" s="493"/>
      <c r="O14" s="493"/>
      <c r="P14" s="472"/>
      <c r="Q14" s="473"/>
      <c r="R14" s="496"/>
      <c r="S14" s="487"/>
      <c r="T14" s="487"/>
      <c r="U14" s="487"/>
      <c r="V14" s="502"/>
      <c r="W14" s="502"/>
      <c r="X14" s="502"/>
      <c r="Y14" s="487"/>
      <c r="Z14" s="487"/>
      <c r="AA14" s="487"/>
      <c r="AG14" s="202"/>
    </row>
    <row r="15" spans="1:56" ht="13" customHeight="1">
      <c r="A15" s="472"/>
      <c r="B15" s="473"/>
      <c r="C15" s="496"/>
      <c r="D15" s="487"/>
      <c r="E15" s="487"/>
      <c r="F15" s="487"/>
      <c r="G15" s="467"/>
      <c r="H15" s="467"/>
      <c r="I15" s="467"/>
      <c r="J15" s="467"/>
      <c r="K15" s="467"/>
      <c r="L15" s="467"/>
      <c r="M15" s="507"/>
      <c r="N15" s="493"/>
      <c r="O15" s="493"/>
      <c r="P15" s="472"/>
      <c r="Q15" s="473"/>
      <c r="R15" s="496"/>
      <c r="S15" s="487"/>
      <c r="T15" s="487"/>
      <c r="U15" s="487"/>
      <c r="V15" s="502"/>
      <c r="W15" s="502"/>
      <c r="X15" s="502"/>
      <c r="Y15" s="487"/>
      <c r="Z15" s="487"/>
      <c r="AA15" s="487"/>
      <c r="AG15" s="202"/>
    </row>
    <row r="16" spans="1:56" ht="13" customHeight="1">
      <c r="A16" s="472"/>
      <c r="B16" s="473"/>
      <c r="C16" s="496"/>
      <c r="D16" s="487"/>
      <c r="E16" s="487"/>
      <c r="F16" s="487"/>
      <c r="G16" s="467"/>
      <c r="H16" s="467"/>
      <c r="I16" s="467"/>
      <c r="J16" s="467"/>
      <c r="K16" s="467"/>
      <c r="L16" s="467"/>
      <c r="M16" s="507"/>
      <c r="N16" s="493"/>
      <c r="O16" s="493"/>
      <c r="P16" s="472"/>
      <c r="Q16" s="473"/>
      <c r="R16" s="496"/>
      <c r="S16" s="487"/>
      <c r="T16" s="487"/>
      <c r="U16" s="487"/>
      <c r="V16" s="502"/>
      <c r="W16" s="502"/>
      <c r="X16" s="502"/>
      <c r="Y16" s="487"/>
      <c r="Z16" s="487"/>
      <c r="AA16" s="487"/>
    </row>
    <row r="17" spans="1:27" ht="13" customHeight="1">
      <c r="A17" s="472"/>
      <c r="B17" s="473"/>
      <c r="C17" s="496"/>
      <c r="D17" s="487"/>
      <c r="E17" s="487"/>
      <c r="F17" s="487"/>
      <c r="G17" s="467"/>
      <c r="H17" s="467"/>
      <c r="I17" s="467"/>
      <c r="J17" s="467"/>
      <c r="K17" s="467"/>
      <c r="L17" s="467"/>
      <c r="M17" s="507"/>
      <c r="N17" s="493"/>
      <c r="O17" s="493"/>
      <c r="P17" s="472"/>
      <c r="Q17" s="473"/>
      <c r="R17" s="496"/>
      <c r="S17" s="487"/>
      <c r="T17" s="487"/>
      <c r="U17" s="487"/>
      <c r="V17" s="502"/>
      <c r="W17" s="502"/>
      <c r="X17" s="502"/>
      <c r="Y17" s="487"/>
      <c r="Z17" s="487"/>
      <c r="AA17" s="487"/>
    </row>
    <row r="18" spans="1:27" ht="79" customHeight="1">
      <c r="A18" s="472"/>
      <c r="B18" s="473"/>
      <c r="C18" s="497"/>
      <c r="D18" s="487"/>
      <c r="E18" s="487"/>
      <c r="F18" s="487"/>
      <c r="G18" s="467"/>
      <c r="H18" s="467"/>
      <c r="I18" s="467"/>
      <c r="J18" s="467"/>
      <c r="K18" s="467"/>
      <c r="L18" s="467"/>
      <c r="M18" s="507"/>
      <c r="N18" s="493"/>
      <c r="O18" s="493"/>
      <c r="P18" s="472"/>
      <c r="Q18" s="473"/>
      <c r="R18" s="497"/>
      <c r="S18" s="487"/>
      <c r="T18" s="487"/>
      <c r="U18" s="487"/>
      <c r="V18" s="502"/>
      <c r="W18" s="502"/>
      <c r="X18" s="502"/>
      <c r="Y18" s="487"/>
      <c r="Z18" s="487"/>
      <c r="AA18" s="487"/>
    </row>
    <row r="19" spans="1:27" ht="13" customHeight="1">
      <c r="A19" s="472"/>
      <c r="B19" s="473" t="s">
        <v>195</v>
      </c>
      <c r="C19" s="495" t="s">
        <v>212</v>
      </c>
      <c r="D19" s="486" t="s">
        <v>225</v>
      </c>
      <c r="E19" s="487"/>
      <c r="F19" s="487"/>
      <c r="G19" s="486" t="s">
        <v>222</v>
      </c>
      <c r="H19" s="487"/>
      <c r="I19" s="487"/>
      <c r="J19" s="486" t="s">
        <v>226</v>
      </c>
      <c r="K19" s="487"/>
      <c r="L19" s="487"/>
      <c r="M19" s="507"/>
      <c r="N19" s="493"/>
      <c r="O19" s="493"/>
      <c r="P19" s="472"/>
      <c r="Q19" s="473" t="s">
        <v>195</v>
      </c>
      <c r="R19" s="495" t="s">
        <v>212</v>
      </c>
      <c r="S19" s="486" t="s">
        <v>235</v>
      </c>
      <c r="T19" s="487"/>
      <c r="U19" s="487"/>
      <c r="V19" s="486" t="s">
        <v>220</v>
      </c>
      <c r="W19" s="487"/>
      <c r="X19" s="487"/>
      <c r="Y19" s="486" t="s">
        <v>221</v>
      </c>
      <c r="Z19" s="487"/>
      <c r="AA19" s="487"/>
    </row>
    <row r="20" spans="1:27" ht="13" customHeight="1">
      <c r="A20" s="472"/>
      <c r="B20" s="473"/>
      <c r="C20" s="496"/>
      <c r="D20" s="487"/>
      <c r="E20" s="487"/>
      <c r="F20" s="487"/>
      <c r="G20" s="487"/>
      <c r="H20" s="487"/>
      <c r="I20" s="487"/>
      <c r="J20" s="487"/>
      <c r="K20" s="487"/>
      <c r="L20" s="487"/>
      <c r="M20" s="507"/>
      <c r="N20" s="493"/>
      <c r="O20" s="493"/>
      <c r="P20" s="472"/>
      <c r="Q20" s="473"/>
      <c r="R20" s="496"/>
      <c r="S20" s="487"/>
      <c r="T20" s="487"/>
      <c r="U20" s="487"/>
      <c r="V20" s="487"/>
      <c r="W20" s="487"/>
      <c r="X20" s="487"/>
      <c r="Y20" s="487"/>
      <c r="Z20" s="487"/>
      <c r="AA20" s="487"/>
    </row>
    <row r="21" spans="1:27" ht="13" customHeight="1">
      <c r="A21" s="472"/>
      <c r="B21" s="473"/>
      <c r="C21" s="496"/>
      <c r="D21" s="487"/>
      <c r="E21" s="487"/>
      <c r="F21" s="487"/>
      <c r="G21" s="487"/>
      <c r="H21" s="487"/>
      <c r="I21" s="487"/>
      <c r="J21" s="487"/>
      <c r="K21" s="487"/>
      <c r="L21" s="487"/>
      <c r="M21" s="507"/>
      <c r="N21" s="493"/>
      <c r="O21" s="493"/>
      <c r="P21" s="472"/>
      <c r="Q21" s="473"/>
      <c r="R21" s="496"/>
      <c r="S21" s="487"/>
      <c r="T21" s="487"/>
      <c r="U21" s="487"/>
      <c r="V21" s="487"/>
      <c r="W21" s="487"/>
      <c r="X21" s="487"/>
      <c r="Y21" s="487"/>
      <c r="Z21" s="487"/>
      <c r="AA21" s="487"/>
    </row>
    <row r="22" spans="1:27" ht="13" customHeight="1">
      <c r="A22" s="472"/>
      <c r="B22" s="473"/>
      <c r="C22" s="496"/>
      <c r="D22" s="487"/>
      <c r="E22" s="487"/>
      <c r="F22" s="487"/>
      <c r="G22" s="487"/>
      <c r="H22" s="487"/>
      <c r="I22" s="487"/>
      <c r="J22" s="487"/>
      <c r="K22" s="487"/>
      <c r="L22" s="487"/>
      <c r="M22" s="507"/>
      <c r="N22" s="493"/>
      <c r="O22" s="493"/>
      <c r="P22" s="472"/>
      <c r="Q22" s="473"/>
      <c r="R22" s="496"/>
      <c r="S22" s="487"/>
      <c r="T22" s="487"/>
      <c r="U22" s="487"/>
      <c r="V22" s="487"/>
      <c r="W22" s="487"/>
      <c r="X22" s="487"/>
      <c r="Y22" s="487"/>
      <c r="Z22" s="487"/>
      <c r="AA22" s="487"/>
    </row>
    <row r="23" spans="1:27" ht="13" customHeight="1">
      <c r="A23" s="472"/>
      <c r="B23" s="473"/>
      <c r="C23" s="496"/>
      <c r="D23" s="487"/>
      <c r="E23" s="487"/>
      <c r="F23" s="487"/>
      <c r="G23" s="487"/>
      <c r="H23" s="487"/>
      <c r="I23" s="487"/>
      <c r="J23" s="487"/>
      <c r="K23" s="487"/>
      <c r="L23" s="487"/>
      <c r="M23" s="507"/>
      <c r="N23" s="493"/>
      <c r="O23" s="493"/>
      <c r="P23" s="472"/>
      <c r="Q23" s="473"/>
      <c r="R23" s="496"/>
      <c r="S23" s="487"/>
      <c r="T23" s="487"/>
      <c r="U23" s="487"/>
      <c r="V23" s="487"/>
      <c r="W23" s="487"/>
      <c r="X23" s="487"/>
      <c r="Y23" s="487"/>
      <c r="Z23" s="487"/>
      <c r="AA23" s="487"/>
    </row>
    <row r="24" spans="1:27" ht="72" customHeight="1">
      <c r="A24" s="472"/>
      <c r="B24" s="473"/>
      <c r="C24" s="497"/>
      <c r="D24" s="487"/>
      <c r="E24" s="487"/>
      <c r="F24" s="487"/>
      <c r="G24" s="487"/>
      <c r="H24" s="487"/>
      <c r="I24" s="487"/>
      <c r="J24" s="487"/>
      <c r="K24" s="487"/>
      <c r="L24" s="487"/>
      <c r="M24" s="507"/>
      <c r="N24" s="493"/>
      <c r="O24" s="493"/>
      <c r="P24" s="472"/>
      <c r="Q24" s="473"/>
      <c r="R24" s="497"/>
      <c r="S24" s="487"/>
      <c r="T24" s="487"/>
      <c r="U24" s="487"/>
      <c r="V24" s="487"/>
      <c r="W24" s="487"/>
      <c r="X24" s="487"/>
      <c r="Y24" s="487"/>
      <c r="Z24" s="487"/>
      <c r="AA24" s="487"/>
    </row>
    <row r="25" spans="1:27" ht="15">
      <c r="A25" s="468"/>
      <c r="B25" s="468"/>
      <c r="C25" s="469"/>
      <c r="D25" s="490" t="s">
        <v>213</v>
      </c>
      <c r="E25" s="491"/>
      <c r="F25" s="492"/>
      <c r="G25" s="490" t="s">
        <v>177</v>
      </c>
      <c r="H25" s="491"/>
      <c r="I25" s="492"/>
      <c r="J25" s="490" t="s">
        <v>214</v>
      </c>
      <c r="K25" s="491"/>
      <c r="L25" s="492"/>
      <c r="M25" s="507"/>
      <c r="N25" s="493"/>
      <c r="O25" s="493"/>
      <c r="P25" s="468"/>
      <c r="Q25" s="468"/>
      <c r="R25" s="469"/>
      <c r="S25" s="490" t="s">
        <v>213</v>
      </c>
      <c r="T25" s="491"/>
      <c r="U25" s="492"/>
      <c r="V25" s="490" t="s">
        <v>177</v>
      </c>
      <c r="W25" s="491"/>
      <c r="X25" s="492"/>
      <c r="Y25" s="490" t="s">
        <v>214</v>
      </c>
      <c r="Z25" s="491"/>
      <c r="AA25" s="492"/>
    </row>
    <row r="26" spans="1:27" ht="15">
      <c r="A26" s="468"/>
      <c r="B26" s="468"/>
      <c r="C26" s="469"/>
      <c r="D26" s="498" t="s">
        <v>195</v>
      </c>
      <c r="E26" s="498"/>
      <c r="F26" s="498"/>
      <c r="G26" s="498" t="s">
        <v>198</v>
      </c>
      <c r="H26" s="498"/>
      <c r="I26" s="498"/>
      <c r="J26" s="498" t="s">
        <v>196</v>
      </c>
      <c r="K26" s="498"/>
      <c r="L26" s="498"/>
      <c r="M26" s="507"/>
      <c r="N26" s="493"/>
      <c r="O26" s="493"/>
      <c r="P26" s="468"/>
      <c r="Q26" s="468"/>
      <c r="R26" s="469"/>
      <c r="S26" s="498" t="s">
        <v>195</v>
      </c>
      <c r="T26" s="498"/>
      <c r="U26" s="498"/>
      <c r="V26" s="498" t="s">
        <v>198</v>
      </c>
      <c r="W26" s="498"/>
      <c r="X26" s="498"/>
      <c r="Y26" s="498" t="s">
        <v>196</v>
      </c>
      <c r="Z26" s="498"/>
      <c r="AA26" s="498"/>
    </row>
    <row r="27" spans="1:27" ht="15">
      <c r="A27" s="468"/>
      <c r="B27" s="468"/>
      <c r="C27" s="469"/>
      <c r="D27" s="498" t="s">
        <v>215</v>
      </c>
      <c r="E27" s="498"/>
      <c r="F27" s="498"/>
      <c r="G27" s="498"/>
      <c r="H27" s="498"/>
      <c r="I27" s="498"/>
      <c r="J27" s="498"/>
      <c r="K27" s="498"/>
      <c r="L27" s="498"/>
      <c r="M27" s="507"/>
      <c r="N27" s="493"/>
      <c r="O27" s="493"/>
      <c r="P27" s="468"/>
      <c r="Q27" s="468"/>
      <c r="R27" s="469"/>
      <c r="S27" s="498" t="s">
        <v>215</v>
      </c>
      <c r="T27" s="498"/>
      <c r="U27" s="498"/>
      <c r="V27" s="498"/>
      <c r="W27" s="498"/>
      <c r="X27" s="498"/>
      <c r="Y27" s="498"/>
      <c r="Z27" s="498"/>
      <c r="AA27" s="498"/>
    </row>
    <row r="34" spans="4:16">
      <c r="P34" s="220"/>
    </row>
    <row r="46" spans="4:16">
      <c r="D46" s="504" t="e">
        <f>'Performance Review'!M36</f>
        <v>#DIV/0!</v>
      </c>
      <c r="E46" s="478"/>
      <c r="F46" s="479"/>
      <c r="G46" s="503" t="e">
        <f>D46</f>
        <v>#DIV/0!</v>
      </c>
      <c r="H46" s="487"/>
      <c r="I46" s="487"/>
      <c r="J46" s="505" t="e">
        <f>G46</f>
        <v>#DIV/0!</v>
      </c>
      <c r="K46" s="489"/>
      <c r="L46" s="489"/>
    </row>
    <row r="47" spans="4:16">
      <c r="D47" s="480"/>
      <c r="E47" s="481"/>
      <c r="F47" s="482"/>
      <c r="G47" s="487"/>
      <c r="H47" s="487"/>
      <c r="I47" s="487"/>
      <c r="J47" s="489"/>
      <c r="K47" s="489"/>
      <c r="L47" s="489"/>
    </row>
    <row r="48" spans="4:16">
      <c r="D48" s="480"/>
      <c r="E48" s="481"/>
      <c r="F48" s="482"/>
      <c r="G48" s="487"/>
      <c r="H48" s="487"/>
      <c r="I48" s="487"/>
      <c r="J48" s="489"/>
      <c r="K48" s="489"/>
      <c r="L48" s="489"/>
    </row>
    <row r="49" spans="4:12">
      <c r="D49" s="480"/>
      <c r="E49" s="481"/>
      <c r="F49" s="482"/>
      <c r="G49" s="487"/>
      <c r="H49" s="487"/>
      <c r="I49" s="487"/>
      <c r="J49" s="489"/>
      <c r="K49" s="489"/>
      <c r="L49" s="489"/>
    </row>
    <row r="50" spans="4:12">
      <c r="D50" s="480"/>
      <c r="E50" s="481"/>
      <c r="F50" s="482"/>
      <c r="G50" s="487"/>
      <c r="H50" s="487"/>
      <c r="I50" s="487"/>
      <c r="J50" s="489"/>
      <c r="K50" s="489"/>
      <c r="L50" s="489"/>
    </row>
    <row r="51" spans="4:12">
      <c r="D51" s="483"/>
      <c r="E51" s="484"/>
      <c r="F51" s="485"/>
      <c r="G51" s="487"/>
      <c r="H51" s="487"/>
      <c r="I51" s="487"/>
      <c r="J51" s="489"/>
      <c r="K51" s="489"/>
      <c r="L51" s="489"/>
    </row>
    <row r="52" spans="4:12">
      <c r="D52" s="503" t="e">
        <f>J46</f>
        <v>#DIV/0!</v>
      </c>
      <c r="E52" s="487"/>
      <c r="F52" s="487"/>
      <c r="G52" s="506" t="e">
        <f>D52</f>
        <v>#DIV/0!</v>
      </c>
      <c r="H52" s="467"/>
      <c r="I52" s="467"/>
      <c r="J52" s="506" t="e">
        <f>G52</f>
        <v>#DIV/0!</v>
      </c>
      <c r="K52" s="467"/>
      <c r="L52" s="467"/>
    </row>
    <row r="53" spans="4:12">
      <c r="D53" s="487"/>
      <c r="E53" s="487"/>
      <c r="F53" s="487"/>
      <c r="G53" s="467"/>
      <c r="H53" s="467"/>
      <c r="I53" s="467"/>
      <c r="J53" s="467"/>
      <c r="K53" s="467"/>
      <c r="L53" s="467"/>
    </row>
    <row r="54" spans="4:12">
      <c r="D54" s="487"/>
      <c r="E54" s="487"/>
      <c r="F54" s="487"/>
      <c r="G54" s="467"/>
      <c r="H54" s="467"/>
      <c r="I54" s="467"/>
      <c r="J54" s="467"/>
      <c r="K54" s="467"/>
      <c r="L54" s="467"/>
    </row>
    <row r="55" spans="4:12">
      <c r="D55" s="487"/>
      <c r="E55" s="487"/>
      <c r="F55" s="487"/>
      <c r="G55" s="467"/>
      <c r="H55" s="467"/>
      <c r="I55" s="467"/>
      <c r="J55" s="467"/>
      <c r="K55" s="467"/>
      <c r="L55" s="467"/>
    </row>
    <row r="56" spans="4:12">
      <c r="D56" s="487"/>
      <c r="E56" s="487"/>
      <c r="F56" s="487"/>
      <c r="G56" s="467"/>
      <c r="H56" s="467"/>
      <c r="I56" s="467"/>
      <c r="J56" s="467"/>
      <c r="K56" s="467"/>
      <c r="L56" s="467"/>
    </row>
    <row r="57" spans="4:12">
      <c r="D57" s="487"/>
      <c r="E57" s="487"/>
      <c r="F57" s="487"/>
      <c r="G57" s="467"/>
      <c r="H57" s="467"/>
      <c r="I57" s="467"/>
      <c r="J57" s="467"/>
      <c r="K57" s="467"/>
      <c r="L57" s="467"/>
    </row>
    <row r="58" spans="4:12" ht="13" customHeight="1">
      <c r="D58" s="487"/>
      <c r="E58" s="487"/>
      <c r="F58" s="487"/>
      <c r="G58" s="467"/>
      <c r="H58" s="467"/>
      <c r="I58" s="467"/>
      <c r="J58" s="467"/>
      <c r="K58" s="467"/>
      <c r="L58" s="467"/>
    </row>
    <row r="59" spans="4:12" ht="13" customHeight="1">
      <c r="D59" s="503" t="e">
        <f>J52</f>
        <v>#DIV/0!</v>
      </c>
      <c r="E59" s="487"/>
      <c r="F59" s="487"/>
      <c r="G59" s="503" t="e">
        <f>D59</f>
        <v>#DIV/0!</v>
      </c>
      <c r="H59" s="487"/>
      <c r="I59" s="487"/>
      <c r="J59" s="503" t="e">
        <f>G59</f>
        <v>#DIV/0!</v>
      </c>
      <c r="K59" s="487"/>
      <c r="L59" s="487"/>
    </row>
    <row r="60" spans="4:12" ht="13" customHeight="1">
      <c r="D60" s="487"/>
      <c r="E60" s="487"/>
      <c r="F60" s="487"/>
      <c r="G60" s="487"/>
      <c r="H60" s="487"/>
      <c r="I60" s="487"/>
      <c r="J60" s="487"/>
      <c r="K60" s="487"/>
      <c r="L60" s="487"/>
    </row>
    <row r="61" spans="4:12" ht="13" customHeight="1">
      <c r="D61" s="487"/>
      <c r="E61" s="487"/>
      <c r="F61" s="487"/>
      <c r="G61" s="487"/>
      <c r="H61" s="487"/>
      <c r="I61" s="487"/>
      <c r="J61" s="487"/>
      <c r="K61" s="487"/>
      <c r="L61" s="487"/>
    </row>
    <row r="62" spans="4:12" ht="13" customHeight="1">
      <c r="D62" s="487"/>
      <c r="E62" s="487"/>
      <c r="F62" s="487"/>
      <c r="G62" s="487"/>
      <c r="H62" s="487"/>
      <c r="I62" s="487"/>
      <c r="J62" s="487"/>
      <c r="K62" s="487"/>
      <c r="L62" s="487"/>
    </row>
    <row r="63" spans="4:12" ht="13" customHeight="1">
      <c r="D63" s="487"/>
      <c r="E63" s="487"/>
      <c r="F63" s="487"/>
      <c r="G63" s="487"/>
      <c r="H63" s="487"/>
      <c r="I63" s="487"/>
      <c r="J63" s="487"/>
      <c r="K63" s="487"/>
      <c r="L63" s="487"/>
    </row>
    <row r="64" spans="4:12" ht="13" customHeight="1">
      <c r="D64" s="487"/>
      <c r="E64" s="487"/>
      <c r="F64" s="487"/>
      <c r="G64" s="487"/>
      <c r="H64" s="487"/>
      <c r="I64" s="487"/>
      <c r="J64" s="487"/>
      <c r="K64" s="487"/>
      <c r="L64" s="487"/>
    </row>
    <row r="65" ht="13" customHeight="1"/>
    <row r="66" ht="13" customHeight="1"/>
    <row r="67" ht="13" customHeight="1"/>
    <row r="68" ht="13" customHeight="1"/>
    <row r="69" ht="13" customHeight="1"/>
    <row r="70" ht="13" customHeight="1"/>
    <row r="71" ht="13" customHeight="1"/>
    <row r="72" ht="13" customHeight="1"/>
    <row r="73" ht="13" customHeight="1"/>
    <row r="74" ht="13" customHeight="1"/>
    <row r="75" ht="13" customHeight="1"/>
    <row r="76" ht="13" customHeight="1"/>
  </sheetData>
  <mergeCells count="66">
    <mergeCell ref="V4:AA4"/>
    <mergeCell ref="Y5:AA5"/>
    <mergeCell ref="D59:F64"/>
    <mergeCell ref="G59:I64"/>
    <mergeCell ref="J59:L64"/>
    <mergeCell ref="Q19:Q24"/>
    <mergeCell ref="P25:R27"/>
    <mergeCell ref="D27:L27"/>
    <mergeCell ref="D46:F51"/>
    <mergeCell ref="G46:I51"/>
    <mergeCell ref="J46:L51"/>
    <mergeCell ref="D52:F58"/>
    <mergeCell ref="G52:I58"/>
    <mergeCell ref="J52:L58"/>
    <mergeCell ref="M6:O27"/>
    <mergeCell ref="R12:R18"/>
    <mergeCell ref="Q12:Q18"/>
    <mergeCell ref="P6:P24"/>
    <mergeCell ref="S27:AA27"/>
    <mergeCell ref="G5:I5"/>
    <mergeCell ref="V5:X5"/>
    <mergeCell ref="Y26:AA26"/>
    <mergeCell ref="R19:R24"/>
    <mergeCell ref="S19:U24"/>
    <mergeCell ref="V19:X24"/>
    <mergeCell ref="Y19:AA24"/>
    <mergeCell ref="S25:U25"/>
    <mergeCell ref="V25:X25"/>
    <mergeCell ref="Y25:AA25"/>
    <mergeCell ref="S12:U18"/>
    <mergeCell ref="V12:X18"/>
    <mergeCell ref="Y12:AA18"/>
    <mergeCell ref="D26:F26"/>
    <mergeCell ref="G26:I26"/>
    <mergeCell ref="J26:L26"/>
    <mergeCell ref="S26:U26"/>
    <mergeCell ref="V26:X26"/>
    <mergeCell ref="R6:R11"/>
    <mergeCell ref="S6:U11"/>
    <mergeCell ref="V6:X11"/>
    <mergeCell ref="Y6:AA11"/>
    <mergeCell ref="Q6:Q11"/>
    <mergeCell ref="B19:B24"/>
    <mergeCell ref="C19:C24"/>
    <mergeCell ref="D19:F24"/>
    <mergeCell ref="G19:I24"/>
    <mergeCell ref="B12:B18"/>
    <mergeCell ref="C12:C18"/>
    <mergeCell ref="D12:F18"/>
    <mergeCell ref="G12:I18"/>
    <mergeCell ref="J12:L18"/>
    <mergeCell ref="A25:C27"/>
    <mergeCell ref="A1:L3"/>
    <mergeCell ref="A6:A24"/>
    <mergeCell ref="B6:B11"/>
    <mergeCell ref="C6:C11"/>
    <mergeCell ref="D6:F11"/>
    <mergeCell ref="G6:I11"/>
    <mergeCell ref="J6:L11"/>
    <mergeCell ref="J19:L24"/>
    <mergeCell ref="J25:L25"/>
    <mergeCell ref="D25:F25"/>
    <mergeCell ref="G25:I25"/>
    <mergeCell ref="A4:F5"/>
    <mergeCell ref="G4:I4"/>
    <mergeCell ref="J4:U5"/>
  </mergeCells>
  <phoneticPr fontId="27" type="noConversion"/>
  <conditionalFormatting sqref="D6:L24">
    <cfRule type="expression" dxfId="2" priority="2">
      <formula>LEFT((D6),LEN(D46))=(D46)</formula>
    </cfRule>
  </conditionalFormatting>
  <conditionalFormatting sqref="S6:AA24">
    <cfRule type="expression" dxfId="1" priority="1">
      <formula>LEFT((S6),LEN(D46))=(D46)</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tabColor indexed="30"/>
  </sheetPr>
  <dimension ref="A2:H33"/>
  <sheetViews>
    <sheetView showGridLines="0" zoomScale="75" zoomScaleNormal="109" zoomScaleSheetLayoutView="101" workbookViewId="0">
      <selection activeCell="A5" sqref="A5:H5"/>
    </sheetView>
  </sheetViews>
  <sheetFormatPr baseColWidth="10" defaultColWidth="9.1640625" defaultRowHeight="15"/>
  <cols>
    <col min="1" max="1" width="9.33203125" style="1" customWidth="1"/>
    <col min="2" max="2" width="9.1640625" style="1"/>
    <col min="3" max="3" width="53.33203125" style="1" customWidth="1"/>
    <col min="4" max="4" width="16.1640625" style="1" customWidth="1"/>
    <col min="5" max="5" width="9.1640625" style="1"/>
    <col min="6" max="6" width="10.5" style="1" customWidth="1"/>
    <col min="7" max="7" width="12" style="1" customWidth="1"/>
    <col min="8" max="8" width="18.33203125" style="1" customWidth="1"/>
    <col min="9" max="16384" width="9.1640625" style="1"/>
  </cols>
  <sheetData>
    <row r="2" spans="1:8" ht="18">
      <c r="A2" s="523" t="s">
        <v>65</v>
      </c>
      <c r="B2" s="523"/>
      <c r="C2" s="523"/>
      <c r="D2" s="523"/>
      <c r="E2" s="523"/>
      <c r="F2" s="523"/>
      <c r="G2" s="523"/>
      <c r="H2" s="523"/>
    </row>
    <row r="3" spans="1:8" ht="16" thickBot="1"/>
    <row r="4" spans="1:8" ht="18" customHeight="1" thickBot="1">
      <c r="A4" s="528" t="s">
        <v>17</v>
      </c>
      <c r="B4" s="529"/>
      <c r="C4" s="529"/>
      <c r="D4" s="529"/>
      <c r="E4" s="529"/>
      <c r="F4" s="529"/>
      <c r="G4" s="529"/>
      <c r="H4" s="530"/>
    </row>
    <row r="5" spans="1:8" ht="20.25" customHeight="1" thickBot="1">
      <c r="A5" s="522" t="s">
        <v>18</v>
      </c>
      <c r="B5" s="520"/>
      <c r="C5" s="521"/>
      <c r="D5" s="519" t="s">
        <v>19</v>
      </c>
      <c r="E5" s="520"/>
      <c r="F5" s="520"/>
      <c r="G5" s="520"/>
      <c r="H5" s="521"/>
    </row>
    <row r="6" spans="1:8" ht="15" customHeight="1">
      <c r="A6" s="534"/>
      <c r="B6" s="535"/>
      <c r="C6" s="536"/>
      <c r="D6" s="531"/>
      <c r="E6" s="532"/>
      <c r="F6" s="532"/>
      <c r="G6" s="532"/>
      <c r="H6" s="533"/>
    </row>
    <row r="7" spans="1:8" ht="15" customHeight="1">
      <c r="A7" s="514"/>
      <c r="B7" s="512"/>
      <c r="C7" s="513"/>
      <c r="D7" s="511"/>
      <c r="E7" s="512"/>
      <c r="F7" s="512"/>
      <c r="G7" s="512"/>
      <c r="H7" s="513"/>
    </row>
    <row r="8" spans="1:8" ht="15" customHeight="1">
      <c r="A8" s="514"/>
      <c r="B8" s="512"/>
      <c r="C8" s="513"/>
      <c r="D8" s="511"/>
      <c r="E8" s="512"/>
      <c r="F8" s="512"/>
      <c r="G8" s="512"/>
      <c r="H8" s="513"/>
    </row>
    <row r="9" spans="1:8" ht="15" customHeight="1">
      <c r="A9" s="514"/>
      <c r="B9" s="512"/>
      <c r="C9" s="513"/>
      <c r="D9" s="511"/>
      <c r="E9" s="512"/>
      <c r="F9" s="512"/>
      <c r="G9" s="512"/>
      <c r="H9" s="513"/>
    </row>
    <row r="10" spans="1:8" ht="15" customHeight="1" thickBot="1">
      <c r="A10" s="515"/>
      <c r="B10" s="516"/>
      <c r="C10" s="517"/>
      <c r="D10" s="518"/>
      <c r="E10" s="516"/>
      <c r="F10" s="516"/>
      <c r="G10" s="516"/>
      <c r="H10" s="517"/>
    </row>
    <row r="11" spans="1:8" ht="20.25" customHeight="1" thickBot="1">
      <c r="F11" s="2"/>
      <c r="G11" s="2"/>
    </row>
    <row r="12" spans="1:8" ht="20.25" customHeight="1" thickBot="1">
      <c r="A12" s="548" t="s">
        <v>20</v>
      </c>
      <c r="B12" s="549"/>
      <c r="C12" s="549"/>
      <c r="D12" s="549"/>
      <c r="E12" s="549"/>
      <c r="F12" s="549"/>
      <c r="G12" s="549"/>
      <c r="H12" s="550"/>
    </row>
    <row r="13" spans="1:8" ht="20.25" customHeight="1" thickBot="1">
      <c r="A13" s="522" t="s">
        <v>63</v>
      </c>
      <c r="B13" s="520"/>
      <c r="C13" s="521"/>
      <c r="D13" s="519" t="s">
        <v>21</v>
      </c>
      <c r="E13" s="520"/>
      <c r="F13" s="520"/>
      <c r="G13" s="520"/>
      <c r="H13" s="521"/>
    </row>
    <row r="14" spans="1:8">
      <c r="A14" s="524"/>
      <c r="B14" s="525"/>
      <c r="C14" s="526"/>
      <c r="D14" s="527"/>
      <c r="E14" s="525"/>
      <c r="F14" s="525"/>
      <c r="G14" s="525"/>
      <c r="H14" s="526"/>
    </row>
    <row r="15" spans="1:8" ht="15" customHeight="1">
      <c r="A15" s="514"/>
      <c r="B15" s="512"/>
      <c r="C15" s="513"/>
      <c r="D15" s="511"/>
      <c r="E15" s="512"/>
      <c r="F15" s="512"/>
      <c r="G15" s="512"/>
      <c r="H15" s="513"/>
    </row>
    <row r="16" spans="1:8" ht="15" customHeight="1">
      <c r="A16" s="514"/>
      <c r="B16" s="512"/>
      <c r="C16" s="513"/>
      <c r="D16" s="511"/>
      <c r="E16" s="512"/>
      <c r="F16" s="512"/>
      <c r="G16" s="512"/>
      <c r="H16" s="513"/>
    </row>
    <row r="17" spans="1:8" ht="15" customHeight="1">
      <c r="A17" s="514"/>
      <c r="B17" s="512"/>
      <c r="C17" s="513"/>
      <c r="D17" s="511"/>
      <c r="E17" s="512"/>
      <c r="F17" s="512"/>
      <c r="G17" s="512"/>
      <c r="H17" s="513"/>
    </row>
    <row r="18" spans="1:8" ht="15" customHeight="1" thickBot="1">
      <c r="A18" s="515"/>
      <c r="B18" s="516"/>
      <c r="C18" s="517"/>
      <c r="D18" s="518"/>
      <c r="E18" s="516"/>
      <c r="F18" s="516"/>
      <c r="G18" s="516"/>
      <c r="H18" s="517"/>
    </row>
    <row r="19" spans="1:8" ht="18" customHeight="1" thickBot="1">
      <c r="D19" s="2"/>
      <c r="E19" s="2"/>
      <c r="F19" s="2"/>
      <c r="G19" s="2"/>
    </row>
    <row r="20" spans="1:8" ht="18" customHeight="1" thickBot="1">
      <c r="A20" s="528" t="s">
        <v>22</v>
      </c>
      <c r="B20" s="542"/>
      <c r="C20" s="542"/>
      <c r="D20" s="542"/>
      <c r="E20" s="542"/>
      <c r="F20" s="542"/>
      <c r="G20" s="542"/>
      <c r="H20" s="543"/>
    </row>
    <row r="21" spans="1:8" ht="18" customHeight="1" thickBot="1">
      <c r="A21" s="522" t="s">
        <v>23</v>
      </c>
      <c r="B21" s="520"/>
      <c r="C21" s="521"/>
      <c r="D21" s="519" t="s">
        <v>24</v>
      </c>
      <c r="E21" s="520"/>
      <c r="F21" s="520"/>
      <c r="G21" s="520"/>
      <c r="H21" s="521"/>
    </row>
    <row r="22" spans="1:8" ht="15" customHeight="1">
      <c r="A22" s="524"/>
      <c r="B22" s="525"/>
      <c r="C22" s="526"/>
      <c r="D22" s="527"/>
      <c r="E22" s="525"/>
      <c r="F22" s="525"/>
      <c r="G22" s="525"/>
      <c r="H22" s="526"/>
    </row>
    <row r="23" spans="1:8" ht="15" customHeight="1">
      <c r="A23" s="514"/>
      <c r="B23" s="512"/>
      <c r="C23" s="513"/>
      <c r="D23" s="511"/>
      <c r="E23" s="512"/>
      <c r="F23" s="512"/>
      <c r="G23" s="512"/>
      <c r="H23" s="513"/>
    </row>
    <row r="24" spans="1:8" ht="15" customHeight="1">
      <c r="A24" s="514"/>
      <c r="B24" s="512"/>
      <c r="C24" s="513"/>
      <c r="D24" s="511"/>
      <c r="E24" s="512"/>
      <c r="F24" s="512"/>
      <c r="G24" s="512"/>
      <c r="H24" s="513"/>
    </row>
    <row r="25" spans="1:8" ht="15" customHeight="1">
      <c r="A25" s="514"/>
      <c r="B25" s="512"/>
      <c r="C25" s="513"/>
      <c r="D25" s="511"/>
      <c r="E25" s="512"/>
      <c r="F25" s="512"/>
      <c r="G25" s="512"/>
      <c r="H25" s="513"/>
    </row>
    <row r="26" spans="1:8" ht="15" customHeight="1" thickBot="1">
      <c r="A26" s="515"/>
      <c r="B26" s="516"/>
      <c r="C26" s="517"/>
      <c r="D26" s="518"/>
      <c r="E26" s="516"/>
      <c r="F26" s="516"/>
      <c r="G26" s="516"/>
      <c r="H26" s="517"/>
    </row>
    <row r="27" spans="1:8" ht="16" thickBot="1"/>
    <row r="28" spans="1:8" ht="20.25" customHeight="1" thickBot="1">
      <c r="A28" s="3" t="s">
        <v>27</v>
      </c>
      <c r="B28" s="4"/>
      <c r="C28" s="4"/>
      <c r="D28" s="4"/>
      <c r="E28" s="4"/>
      <c r="F28" s="4"/>
      <c r="G28" s="4"/>
      <c r="H28" s="5"/>
    </row>
    <row r="29" spans="1:8" ht="16.5" customHeight="1" thickBot="1">
      <c r="A29" s="6" t="s">
        <v>25</v>
      </c>
      <c r="B29" s="544" t="s">
        <v>26</v>
      </c>
      <c r="C29" s="544"/>
      <c r="D29" s="547" t="s">
        <v>38</v>
      </c>
      <c r="E29" s="544"/>
      <c r="F29" s="546"/>
      <c r="G29" s="544" t="s">
        <v>39</v>
      </c>
      <c r="H29" s="546"/>
    </row>
    <row r="30" spans="1:8" ht="15" customHeight="1">
      <c r="A30" s="7">
        <v>1</v>
      </c>
      <c r="B30" s="508"/>
      <c r="C30" s="509"/>
      <c r="D30" s="508"/>
      <c r="E30" s="509"/>
      <c r="F30" s="510"/>
      <c r="G30" s="509"/>
      <c r="H30" s="510"/>
    </row>
    <row r="31" spans="1:8" ht="15" customHeight="1">
      <c r="A31" s="8">
        <v>2</v>
      </c>
      <c r="B31" s="539"/>
      <c r="C31" s="540"/>
      <c r="D31" s="539"/>
      <c r="E31" s="540"/>
      <c r="F31" s="541"/>
      <c r="G31" s="540"/>
      <c r="H31" s="541"/>
    </row>
    <row r="32" spans="1:8" ht="15" customHeight="1">
      <c r="A32" s="8">
        <v>3</v>
      </c>
      <c r="B32" s="539"/>
      <c r="C32" s="540"/>
      <c r="D32" s="539"/>
      <c r="E32" s="540"/>
      <c r="F32" s="541"/>
      <c r="G32" s="540"/>
      <c r="H32" s="541"/>
    </row>
    <row r="33" spans="1:8" ht="15" customHeight="1" thickBot="1">
      <c r="A33" s="9">
        <v>4</v>
      </c>
      <c r="B33" s="537"/>
      <c r="C33" s="538"/>
      <c r="D33" s="537"/>
      <c r="E33" s="538"/>
      <c r="F33" s="545"/>
      <c r="G33" s="538"/>
      <c r="H33" s="545"/>
    </row>
  </sheetData>
  <mergeCells count="55">
    <mergeCell ref="D7:H7"/>
    <mergeCell ref="A8:C8"/>
    <mergeCell ref="D8:H8"/>
    <mergeCell ref="D14:H14"/>
    <mergeCell ref="A9:C9"/>
    <mergeCell ref="A13:C13"/>
    <mergeCell ref="D15:H15"/>
    <mergeCell ref="D10:H10"/>
    <mergeCell ref="A15:C15"/>
    <mergeCell ref="D9:H9"/>
    <mergeCell ref="A12:H12"/>
    <mergeCell ref="B33:C33"/>
    <mergeCell ref="D31:F31"/>
    <mergeCell ref="D32:F32"/>
    <mergeCell ref="D18:H18"/>
    <mergeCell ref="A20:H20"/>
    <mergeCell ref="B29:C29"/>
    <mergeCell ref="B30:C30"/>
    <mergeCell ref="B31:C31"/>
    <mergeCell ref="B32:C32"/>
    <mergeCell ref="D33:F33"/>
    <mergeCell ref="G29:H29"/>
    <mergeCell ref="G30:H30"/>
    <mergeCell ref="G31:H31"/>
    <mergeCell ref="G33:H33"/>
    <mergeCell ref="D29:F29"/>
    <mergeCell ref="G32:H32"/>
    <mergeCell ref="A2:H2"/>
    <mergeCell ref="A24:C24"/>
    <mergeCell ref="D24:H24"/>
    <mergeCell ref="A22:C22"/>
    <mergeCell ref="D22:H22"/>
    <mergeCell ref="A4:H4"/>
    <mergeCell ref="A5:C5"/>
    <mergeCell ref="A14:C14"/>
    <mergeCell ref="D13:H13"/>
    <mergeCell ref="D6:H6"/>
    <mergeCell ref="A16:C16"/>
    <mergeCell ref="A7:C7"/>
    <mergeCell ref="D5:H5"/>
    <mergeCell ref="A6:C6"/>
    <mergeCell ref="A10:C10"/>
    <mergeCell ref="D16:H16"/>
    <mergeCell ref="D30:F30"/>
    <mergeCell ref="D17:H17"/>
    <mergeCell ref="A17:C17"/>
    <mergeCell ref="A26:C26"/>
    <mergeCell ref="D26:H26"/>
    <mergeCell ref="D23:H23"/>
    <mergeCell ref="A18:C18"/>
    <mergeCell ref="D21:H21"/>
    <mergeCell ref="A23:C23"/>
    <mergeCell ref="A21:C21"/>
    <mergeCell ref="A25:C25"/>
    <mergeCell ref="D25:H25"/>
  </mergeCells>
  <phoneticPr fontId="27" type="noConversion"/>
  <printOptions horizontalCentered="1"/>
  <pageMargins left="0.45" right="0.2" top="0.35" bottom="0.37" header="0.2" footer="0.2"/>
  <pageSetup paperSize="9"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A522-D98C-4D48-974F-E5E550807337}">
  <sheetPr>
    <tabColor indexed="30"/>
  </sheetPr>
  <dimension ref="B1:H8"/>
  <sheetViews>
    <sheetView zoomScale="75" workbookViewId="0">
      <selection activeCell="N4" sqref="N4"/>
    </sheetView>
  </sheetViews>
  <sheetFormatPr baseColWidth="10" defaultRowHeight="19"/>
  <cols>
    <col min="1" max="1" width="5.83203125" customWidth="1"/>
    <col min="2" max="2" width="12.83203125" style="237" customWidth="1"/>
    <col min="3" max="3" width="35.83203125" style="238" customWidth="1"/>
    <col min="4" max="8" width="30.83203125" customWidth="1"/>
  </cols>
  <sheetData>
    <row r="1" spans="2:8" ht="20" thickBot="1"/>
    <row r="2" spans="2:8" s="239" customFormat="1" ht="20" thickBot="1">
      <c r="B2" s="270"/>
      <c r="C2" s="271"/>
      <c r="D2" s="272" t="s">
        <v>278</v>
      </c>
      <c r="E2" s="272" t="s">
        <v>279</v>
      </c>
      <c r="F2" s="272" t="s">
        <v>280</v>
      </c>
      <c r="G2" s="272" t="s">
        <v>281</v>
      </c>
      <c r="H2" s="273" t="s">
        <v>282</v>
      </c>
    </row>
    <row r="3" spans="2:8" ht="156">
      <c r="B3" s="551" t="s">
        <v>240</v>
      </c>
      <c r="C3" s="265" t="s">
        <v>284</v>
      </c>
      <c r="D3" s="274" t="s">
        <v>285</v>
      </c>
      <c r="E3" s="274" t="s">
        <v>286</v>
      </c>
      <c r="F3" s="266" t="s">
        <v>287</v>
      </c>
      <c r="G3" s="266" t="s">
        <v>288</v>
      </c>
      <c r="H3" s="268" t="s">
        <v>306</v>
      </c>
    </row>
    <row r="4" spans="2:8" ht="171" thickBot="1">
      <c r="B4" s="552"/>
      <c r="C4" s="275" t="s">
        <v>313</v>
      </c>
      <c r="D4" s="269" t="s">
        <v>289</v>
      </c>
      <c r="E4" s="241" t="s">
        <v>290</v>
      </c>
      <c r="F4" s="241" t="s">
        <v>291</v>
      </c>
      <c r="G4" s="241" t="s">
        <v>292</v>
      </c>
      <c r="H4" s="276" t="s">
        <v>307</v>
      </c>
    </row>
    <row r="5" spans="2:8" ht="323">
      <c r="B5" s="551" t="s">
        <v>241</v>
      </c>
      <c r="C5" s="265" t="s">
        <v>316</v>
      </c>
      <c r="D5" s="267" t="s">
        <v>354</v>
      </c>
      <c r="E5" s="267" t="s">
        <v>321</v>
      </c>
      <c r="F5" s="267" t="s">
        <v>322</v>
      </c>
      <c r="G5" s="267" t="s">
        <v>355</v>
      </c>
      <c r="H5" s="268" t="s">
        <v>356</v>
      </c>
    </row>
    <row r="6" spans="2:8" ht="171" thickBot="1">
      <c r="B6" s="552"/>
      <c r="C6" s="240" t="s">
        <v>309</v>
      </c>
      <c r="D6" s="269" t="s">
        <v>323</v>
      </c>
      <c r="E6" s="241" t="s">
        <v>293</v>
      </c>
      <c r="F6" s="269" t="s">
        <v>294</v>
      </c>
      <c r="G6" s="241" t="s">
        <v>295</v>
      </c>
      <c r="H6" s="242" t="s">
        <v>296</v>
      </c>
    </row>
    <row r="7" spans="2:8" ht="136">
      <c r="B7" s="551" t="s">
        <v>242</v>
      </c>
      <c r="C7" s="265" t="s">
        <v>308</v>
      </c>
      <c r="D7" s="266" t="s">
        <v>297</v>
      </c>
      <c r="E7" s="266" t="s">
        <v>298</v>
      </c>
      <c r="F7" s="267" t="s">
        <v>324</v>
      </c>
      <c r="G7" s="267" t="s">
        <v>314</v>
      </c>
      <c r="H7" s="268" t="s">
        <v>315</v>
      </c>
    </row>
    <row r="8" spans="2:8" ht="256" thickBot="1">
      <c r="B8" s="552"/>
      <c r="C8" s="240" t="s">
        <v>299</v>
      </c>
      <c r="D8" s="269" t="s">
        <v>347</v>
      </c>
      <c r="E8" s="269" t="s">
        <v>348</v>
      </c>
      <c r="F8" s="269" t="s">
        <v>349</v>
      </c>
      <c r="G8" s="269" t="s">
        <v>350</v>
      </c>
      <c r="H8" s="276" t="s">
        <v>351</v>
      </c>
    </row>
  </sheetData>
  <mergeCells count="3">
    <mergeCell ref="B3:B4"/>
    <mergeCell ref="B5:B6"/>
    <mergeCell ref="B7:B8"/>
  </mergeCell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30"/>
    <pageSetUpPr fitToPage="1"/>
  </sheetPr>
  <dimension ref="A1:C13"/>
  <sheetViews>
    <sheetView zoomScale="114" zoomScaleNormal="114" zoomScaleSheetLayoutView="63" workbookViewId="0">
      <selection activeCell="C13" sqref="C11:C13"/>
    </sheetView>
  </sheetViews>
  <sheetFormatPr baseColWidth="10" defaultColWidth="8.83203125" defaultRowHeight="13"/>
  <cols>
    <col min="1" max="1" width="20.1640625" bestFit="1" customWidth="1"/>
    <col min="2" max="2" width="40.5" bestFit="1" customWidth="1"/>
    <col min="3" max="3" width="37.33203125" bestFit="1" customWidth="1"/>
  </cols>
  <sheetData>
    <row r="1" spans="1:3" ht="16" thickBot="1">
      <c r="A1" s="82"/>
      <c r="B1" s="116" t="s">
        <v>166</v>
      </c>
      <c r="C1" s="117" t="s">
        <v>325</v>
      </c>
    </row>
    <row r="2" spans="1:3" ht="17">
      <c r="A2" s="553" t="s">
        <v>41</v>
      </c>
      <c r="B2" s="248" t="s">
        <v>119</v>
      </c>
      <c r="C2" s="255" t="s">
        <v>120</v>
      </c>
    </row>
    <row r="3" spans="1:3" ht="17">
      <c r="A3" s="554"/>
      <c r="B3" s="249" t="s">
        <v>147</v>
      </c>
      <c r="C3" s="256" t="s">
        <v>148</v>
      </c>
    </row>
    <row r="4" spans="1:3" ht="18" thickBot="1">
      <c r="A4" s="554"/>
      <c r="B4" s="249" t="s">
        <v>74</v>
      </c>
      <c r="C4" s="256" t="s">
        <v>319</v>
      </c>
    </row>
    <row r="5" spans="1:3" ht="15">
      <c r="A5" s="553" t="s">
        <v>100</v>
      </c>
      <c r="B5" s="250" t="s">
        <v>106</v>
      </c>
      <c r="C5" s="244" t="s">
        <v>107</v>
      </c>
    </row>
    <row r="6" spans="1:3" ht="15">
      <c r="A6" s="554"/>
      <c r="B6" s="251" t="s">
        <v>327</v>
      </c>
      <c r="C6" s="245" t="s">
        <v>126</v>
      </c>
    </row>
    <row r="7" spans="1:3" ht="16" thickBot="1">
      <c r="A7" s="554"/>
      <c r="B7" s="251" t="s">
        <v>54</v>
      </c>
      <c r="C7" s="245" t="s">
        <v>132</v>
      </c>
    </row>
    <row r="8" spans="1:3" ht="15">
      <c r="A8" s="553" t="s">
        <v>101</v>
      </c>
      <c r="B8" s="252" t="s">
        <v>42</v>
      </c>
      <c r="C8" s="246" t="s">
        <v>122</v>
      </c>
    </row>
    <row r="9" spans="1:3" ht="15">
      <c r="A9" s="554"/>
      <c r="B9" s="253" t="s">
        <v>43</v>
      </c>
      <c r="C9" s="247" t="s">
        <v>57</v>
      </c>
    </row>
    <row r="10" spans="1:3" ht="16" thickBot="1">
      <c r="A10" s="554"/>
      <c r="B10" s="253" t="s">
        <v>52</v>
      </c>
      <c r="C10" s="247" t="s">
        <v>53</v>
      </c>
    </row>
    <row r="11" spans="1:3" ht="17" thickBot="1">
      <c r="A11" s="553" t="s">
        <v>326</v>
      </c>
      <c r="B11" s="254" t="s">
        <v>43</v>
      </c>
      <c r="C11" s="243" t="s">
        <v>57</v>
      </c>
    </row>
    <row r="12" spans="1:3" ht="17" thickBot="1">
      <c r="A12" s="554"/>
      <c r="B12" s="254" t="s">
        <v>52</v>
      </c>
      <c r="C12" s="243" t="s">
        <v>53</v>
      </c>
    </row>
    <row r="13" spans="1:3" ht="17" thickBot="1">
      <c r="A13" s="555"/>
      <c r="B13" s="254" t="s">
        <v>141</v>
      </c>
      <c r="C13" s="243" t="s">
        <v>58</v>
      </c>
    </row>
  </sheetData>
  <mergeCells count="4">
    <mergeCell ref="A2:A4"/>
    <mergeCell ref="A5:A7"/>
    <mergeCell ref="A8:A10"/>
    <mergeCell ref="A11:A13"/>
  </mergeCells>
  <pageMargins left="0.7" right="0.7" top="0.75" bottom="0.75" header="0.3" footer="0.3"/>
  <pageSetup paperSize="9" scale="8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30"/>
  </sheetPr>
  <dimension ref="A1:H23"/>
  <sheetViews>
    <sheetView view="pageBreakPreview" zoomScaleNormal="125" zoomScaleSheetLayoutView="100" workbookViewId="0">
      <selection activeCell="E21" sqref="E21"/>
    </sheetView>
  </sheetViews>
  <sheetFormatPr baseColWidth="10" defaultColWidth="9.1640625" defaultRowHeight="14"/>
  <cols>
    <col min="1" max="1" width="21.83203125" style="69" bestFit="1" customWidth="1"/>
    <col min="2" max="2" width="49.1640625" style="69" bestFit="1" customWidth="1"/>
    <col min="3" max="3" width="27.1640625" style="69" bestFit="1" customWidth="1"/>
    <col min="4" max="4" width="26.33203125" style="69" customWidth="1"/>
    <col min="5" max="5" width="29.6640625" style="69" customWidth="1"/>
    <col min="6" max="6" width="8.5" style="69" customWidth="1"/>
    <col min="7" max="7" width="20.33203125" style="69" bestFit="1" customWidth="1"/>
    <col min="8" max="8" width="14.33203125" style="69" bestFit="1" customWidth="1"/>
    <col min="9" max="16384" width="9.1640625" style="69"/>
  </cols>
  <sheetData>
    <row r="1" spans="1:8">
      <c r="A1" s="556" t="s">
        <v>97</v>
      </c>
      <c r="B1" s="556"/>
      <c r="C1" s="556"/>
      <c r="D1" s="556"/>
      <c r="E1" s="556"/>
    </row>
    <row r="2" spans="1:8">
      <c r="A2" s="556"/>
      <c r="B2" s="556"/>
      <c r="C2" s="556"/>
      <c r="D2" s="556"/>
      <c r="E2" s="556"/>
    </row>
    <row r="3" spans="1:8" ht="18">
      <c r="A3" s="560" t="s">
        <v>33</v>
      </c>
      <c r="B3" s="560"/>
      <c r="C3" s="560"/>
      <c r="D3" s="560"/>
      <c r="E3" s="560"/>
    </row>
    <row r="4" spans="1:8" ht="15" thickBot="1">
      <c r="G4" s="90"/>
    </row>
    <row r="5" spans="1:8" ht="15" thickBot="1">
      <c r="A5" s="91" t="s">
        <v>0</v>
      </c>
      <c r="B5" s="92" t="s">
        <v>2</v>
      </c>
      <c r="C5" s="92" t="s">
        <v>31</v>
      </c>
      <c r="D5" s="93" t="s">
        <v>32</v>
      </c>
    </row>
    <row r="6" spans="1:8" ht="15" thickBot="1">
      <c r="A6" s="94">
        <f>'Objectives Setting'!A40:E40</f>
        <v>0</v>
      </c>
      <c r="B6" s="95">
        <f>'Cover Page'!AX5</f>
        <v>0</v>
      </c>
      <c r="C6" s="95">
        <f>'Cover Page'!AW8</f>
        <v>0</v>
      </c>
      <c r="D6" s="96">
        <f>'Cover Page'!AW10</f>
        <v>0</v>
      </c>
    </row>
    <row r="7" spans="1:8" ht="15" thickBot="1">
      <c r="A7" s="91" t="s">
        <v>76</v>
      </c>
      <c r="B7" s="92" t="s">
        <v>2</v>
      </c>
      <c r="C7" s="92" t="s">
        <v>34</v>
      </c>
    </row>
    <row r="8" spans="1:8" ht="15" thickBot="1">
      <c r="A8" s="94">
        <f>'Cover Page'!AW6</f>
        <v>0</v>
      </c>
      <c r="B8" s="95">
        <f>'Cover Page'!AW7</f>
        <v>0</v>
      </c>
      <c r="C8" s="95">
        <f>'Cover Page'!AW3</f>
        <v>0</v>
      </c>
    </row>
    <row r="9" spans="1:8" ht="15" thickBot="1"/>
    <row r="10" spans="1:8" ht="16">
      <c r="A10" s="561" t="s">
        <v>64</v>
      </c>
      <c r="B10" s="562"/>
      <c r="C10" s="563"/>
      <c r="D10" s="561" t="s">
        <v>92</v>
      </c>
      <c r="E10" s="563"/>
      <c r="G10" s="174" t="s">
        <v>61</v>
      </c>
      <c r="H10" s="175" t="s">
        <v>176</v>
      </c>
    </row>
    <row r="11" spans="1:8" ht="16">
      <c r="A11" s="564" t="s">
        <v>77</v>
      </c>
      <c r="B11" s="565"/>
      <c r="C11" s="566"/>
      <c r="D11" s="564" t="s">
        <v>77</v>
      </c>
      <c r="E11" s="566"/>
      <c r="G11" s="176" t="s">
        <v>185</v>
      </c>
      <c r="H11" s="177" t="s">
        <v>186</v>
      </c>
    </row>
    <row r="12" spans="1:8">
      <c r="A12" s="70" t="s">
        <v>78</v>
      </c>
      <c r="B12" s="71" t="s">
        <v>83</v>
      </c>
      <c r="C12" s="74" t="s">
        <v>183</v>
      </c>
      <c r="D12" s="70" t="s">
        <v>78</v>
      </c>
      <c r="E12" s="78">
        <v>5</v>
      </c>
      <c r="G12" s="176" t="s">
        <v>187</v>
      </c>
      <c r="H12" s="177">
        <v>1</v>
      </c>
    </row>
    <row r="13" spans="1:8">
      <c r="A13" s="70" t="s">
        <v>79</v>
      </c>
      <c r="B13" s="71" t="s">
        <v>84</v>
      </c>
      <c r="C13" s="74" t="s">
        <v>182</v>
      </c>
      <c r="D13" s="70" t="s">
        <v>79</v>
      </c>
      <c r="E13" s="76" t="s">
        <v>91</v>
      </c>
      <c r="G13" s="176" t="s">
        <v>177</v>
      </c>
      <c r="H13" s="177">
        <v>0.9</v>
      </c>
    </row>
    <row r="14" spans="1:8">
      <c r="A14" s="70" t="s">
        <v>80</v>
      </c>
      <c r="B14" s="71" t="s">
        <v>85</v>
      </c>
      <c r="C14" s="74" t="s">
        <v>181</v>
      </c>
      <c r="D14" s="70" t="s">
        <v>80</v>
      </c>
      <c r="E14" s="76" t="s">
        <v>90</v>
      </c>
      <c r="G14" s="176" t="s">
        <v>188</v>
      </c>
      <c r="H14" s="177">
        <v>0.75</v>
      </c>
    </row>
    <row r="15" spans="1:8">
      <c r="A15" s="70" t="s">
        <v>81</v>
      </c>
      <c r="B15" s="71" t="s">
        <v>86</v>
      </c>
      <c r="C15" s="74" t="s">
        <v>180</v>
      </c>
      <c r="D15" s="70" t="s">
        <v>81</v>
      </c>
      <c r="E15" s="76" t="s">
        <v>89</v>
      </c>
      <c r="G15" s="176" t="s">
        <v>189</v>
      </c>
      <c r="H15" s="177">
        <v>0.5</v>
      </c>
    </row>
    <row r="16" spans="1:8" ht="15" thickBot="1">
      <c r="A16" s="72" t="s">
        <v>82</v>
      </c>
      <c r="B16" s="73" t="s">
        <v>87</v>
      </c>
      <c r="C16" s="75" t="s">
        <v>178</v>
      </c>
      <c r="D16" s="72" t="s">
        <v>82</v>
      </c>
      <c r="E16" s="77" t="s">
        <v>88</v>
      </c>
      <c r="G16" s="176" t="s">
        <v>190</v>
      </c>
      <c r="H16" s="177">
        <v>0.25</v>
      </c>
    </row>
    <row r="17" spans="1:8" ht="15" thickBot="1">
      <c r="G17" s="178" t="s">
        <v>191</v>
      </c>
      <c r="H17" s="179">
        <v>0</v>
      </c>
    </row>
    <row r="18" spans="1:8" ht="18">
      <c r="A18" s="570" t="s">
        <v>96</v>
      </c>
      <c r="B18" s="570"/>
      <c r="C18" s="570"/>
      <c r="D18" s="570"/>
    </row>
    <row r="19" spans="1:8" ht="17">
      <c r="A19" s="79" t="s">
        <v>93</v>
      </c>
      <c r="B19" s="80" t="s">
        <v>61</v>
      </c>
      <c r="C19" s="79" t="s">
        <v>95</v>
      </c>
      <c r="D19" s="80" t="s">
        <v>98</v>
      </c>
    </row>
    <row r="20" spans="1:8">
      <c r="A20" s="567" t="s">
        <v>94</v>
      </c>
      <c r="B20" s="571" t="e">
        <f>'Performance Review'!M34</f>
        <v>#DIV/0!</v>
      </c>
      <c r="C20" s="573" t="e">
        <f>'Performance Review'!M33</f>
        <v>#DIV/0!</v>
      </c>
      <c r="D20" s="557">
        <f>'Performance Review'!M15</f>
        <v>0</v>
      </c>
    </row>
    <row r="21" spans="1:8">
      <c r="A21" s="568"/>
      <c r="B21" s="572"/>
      <c r="C21" s="574"/>
      <c r="D21" s="558"/>
    </row>
    <row r="22" spans="1:8">
      <c r="A22" s="569" t="s">
        <v>35</v>
      </c>
      <c r="B22" s="559" t="e">
        <f>IF(B20&lt;=65%,"Unsatisfactory",IF(B20=66%,"Needs Improvement",IF(B20&lt;=79%,"Needs Improvement",IF(B20=80%,"Meets",IF(B20&lt;=94%,"Meets",IF(B20=95%,"Above Expectations",IF(B20&lt;=100%,"Above Expectations",IF(B20&gt;=101%,"Exceptional",0))))))))</f>
        <v>#DIV/0!</v>
      </c>
      <c r="C22" s="559" t="e">
        <f>IF(C20&lt;=1.9,"Unsatisfactory",IF(C20=2,"Needs Improvement",IF(C20&lt;=2.9,"Needs Improvement",IF(C20=3,"Meets",IF(C20&lt;=3.9,"Meets",IF(C20=4,"Above Expectations",IF(C20&lt;=4.9,"Above Expectations",IF(C20&gt;=5,"Exceptional",0))))))))</f>
        <v>#DIV/0!</v>
      </c>
      <c r="D22" s="559" t="str">
        <f>IF(D20&lt;=60%,"Unsatisfactory",IF(D20=61%,"Needs Improvement",IF(D20&lt;=79%,"Needs Improvement",IF(D20=80%,"Meets",IF(D20&lt;=89%,"Meets",IF(D20=90%,"Above Expectations",IF(D20&lt;=94%,"Above Expectations",IF(D20&gt;=95%,"Exceptional",0))))))))</f>
        <v>Unsatisfactory</v>
      </c>
    </row>
    <row r="23" spans="1:8">
      <c r="A23" s="569"/>
      <c r="B23" s="558"/>
      <c r="C23" s="558"/>
      <c r="D23" s="558"/>
    </row>
  </sheetData>
  <sheetProtection algorithmName="SHA-512" hashValue="dpx/tdJgRTeUSnEzZQzrv/xXsxrapq2ojbJpfz17q0KdTjkZ9mhfuf069kPCA+kesb5Cw73Xy4mpENBgZzU8vw==" saltValue="7k0Tr0FSs6Cowpg5e+NPTw==" spinCount="100000" sheet="1" objects="1" scenarios="1"/>
  <mergeCells count="15">
    <mergeCell ref="A1:E2"/>
    <mergeCell ref="D20:D21"/>
    <mergeCell ref="D22:D23"/>
    <mergeCell ref="A3:E3"/>
    <mergeCell ref="A10:C10"/>
    <mergeCell ref="A11:C11"/>
    <mergeCell ref="D10:E10"/>
    <mergeCell ref="D11:E11"/>
    <mergeCell ref="A20:A21"/>
    <mergeCell ref="A22:A23"/>
    <mergeCell ref="A18:D18"/>
    <mergeCell ref="B22:B23"/>
    <mergeCell ref="B20:B21"/>
    <mergeCell ref="C20:C21"/>
    <mergeCell ref="C22:C23"/>
  </mergeCells>
  <pageMargins left="0.7" right="0.7" top="0.75" bottom="0.75" header="0.3" footer="0.3"/>
  <pageSetup paperSize="9" scale="41"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10</vt:i4>
      </vt:variant>
      <vt:variant>
        <vt:lpstr>Charts</vt:lpstr>
      </vt:variant>
      <vt:variant>
        <vt:i4>1</vt:i4>
      </vt:variant>
      <vt:variant>
        <vt:lpstr>Named Ranges</vt:lpstr>
      </vt:variant>
      <vt:variant>
        <vt:i4>4</vt:i4>
      </vt:variant>
    </vt:vector>
  </HeadingPairs>
  <TitlesOfParts>
    <vt:vector size="15" baseType="lpstr">
      <vt:lpstr>Cover Page</vt:lpstr>
      <vt:lpstr>Objectives Setting</vt:lpstr>
      <vt:lpstr>Performance Review</vt:lpstr>
      <vt:lpstr>Sucession Plan Score</vt:lpstr>
      <vt:lpstr>Sheet1</vt:lpstr>
      <vt:lpstr>Succession Planning</vt:lpstr>
      <vt:lpstr>Development Plan</vt:lpstr>
      <vt:lpstr>Core Competencies Def.</vt:lpstr>
      <vt:lpstr>Competencies</vt:lpstr>
      <vt:lpstr>Performance Profile</vt:lpstr>
      <vt:lpstr>Core Competencies Graph</vt:lpstr>
      <vt:lpstr>Department</vt:lpstr>
      <vt:lpstr>'Cover Page'!Print_Area</vt:lpstr>
      <vt:lpstr>'Performance Review'!Print_Area</vt:lpstr>
      <vt:lpstr>'Succession Planning'!Print_Area</vt:lpstr>
    </vt:vector>
  </TitlesOfParts>
  <Company>LOGIC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ahmed.samir</dc:creator>
  <cp:lastModifiedBy>Yara Rashad</cp:lastModifiedBy>
  <cp:lastPrinted>2023-08-23T09:22:23Z</cp:lastPrinted>
  <dcterms:created xsi:type="dcterms:W3CDTF">2007-04-17T11:17:13Z</dcterms:created>
  <dcterms:modified xsi:type="dcterms:W3CDTF">2026-04-26T20:55:11Z</dcterms:modified>
</cp:coreProperties>
</file>